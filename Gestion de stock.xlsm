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Romaric - excel\"/>
    </mc:Choice>
  </mc:AlternateContent>
  <xr:revisionPtr revIDLastSave="0" documentId="10_ncr:8100000_{1CC8BAF4-F323-4C70-AC3B-F6E8954FEED2}" xr6:coauthVersionLast="32" xr6:coauthVersionMax="32" xr10:uidLastSave="{00000000-0000-0000-0000-000000000000}"/>
  <bookViews>
    <workbookView xWindow="0" yWindow="0" windowWidth="20490" windowHeight="7545" activeTab="2" xr2:uid="{39214459-277C-47E1-B46C-E263114F871F}"/>
  </bookViews>
  <sheets>
    <sheet name="Accueil" sheetId="1" r:id="rId1"/>
    <sheet name="Produit" sheetId="2" r:id="rId2"/>
    <sheet name="Commande" sheetId="3" r:id="rId3"/>
    <sheet name="Facture" sheetId="4" r:id="rId4"/>
    <sheet name="Fournisseur" sheetId="6" r:id="rId5"/>
    <sheet name="Catégorie" sheetId="7" r:id="rId6"/>
    <sheet name="Config" sheetId="8" r:id="rId7"/>
    <sheet name="Inventaire" sheetId="5" r:id="rId8"/>
  </sheets>
  <definedNames>
    <definedName name="article">Tableau3[ID Article]</definedName>
    <definedName name="cat">Tableau7[[Id Catégorie]:[Nom]]</definedName>
    <definedName name="categorie">Catégorie!$B$6:$B$13</definedName>
    <definedName name="categories">Tableau7[Nom]</definedName>
    <definedName name="client">Catégorie!$B$6:$B$13</definedName>
    <definedName name="commandes">commande[#All]</definedName>
    <definedName name="fournisseur">fornisseur[Nom]</definedName>
    <definedName name="order_id">commande[Reference commande]</definedName>
    <definedName name="pro">Tableau3[#All]</definedName>
    <definedName name="Produits">Tableau3[Nom]</definedName>
    <definedName name="supplier">fornisseur[Nom]</definedName>
    <definedName name="tb_categorie">Tableau7[]</definedName>
    <definedName name="tb_produits">Tableau3[]</definedName>
    <definedName name="test">Tableau3[[ID Article]:[Nom]]</definedName>
    <definedName name="_xlnm.Print_Area" localSheetId="3">Facture!$B$6:$G$54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2" i="3" l="1"/>
  <c r="J52" i="3"/>
  <c r="I51" i="3"/>
  <c r="J51" i="3"/>
  <c r="F15" i="2"/>
  <c r="J15" i="2" s="1"/>
  <c r="F14" i="2"/>
  <c r="J14" i="2" s="1"/>
  <c r="C22" i="4" l="1" a="1"/>
  <c r="C22" i="4" s="1"/>
  <c r="I50" i="3"/>
  <c r="J50" i="3"/>
  <c r="F7" i="2"/>
  <c r="F8" i="2"/>
  <c r="F9" i="2"/>
  <c r="F10" i="2"/>
  <c r="F11" i="2"/>
  <c r="F12" i="2"/>
  <c r="I49" i="3" l="1"/>
  <c r="J49" i="3"/>
  <c r="I48" i="3" l="1"/>
  <c r="J48" i="3"/>
  <c r="I47" i="3"/>
  <c r="J47" i="3"/>
  <c r="I46" i="3"/>
  <c r="J46" i="3"/>
  <c r="I45" i="3"/>
  <c r="J45" i="3"/>
  <c r="I44" i="3"/>
  <c r="J44" i="3"/>
  <c r="D22" i="4" a="1"/>
  <c r="D22" i="4" s="1"/>
  <c r="E22" i="4" a="1"/>
  <c r="E22" i="4" s="1"/>
  <c r="F22" i="4" a="1"/>
  <c r="F22" i="4" s="1"/>
  <c r="I43" i="3"/>
  <c r="J43" i="3"/>
  <c r="C45" i="4" a="1"/>
  <c r="C45" i="4" s="1"/>
  <c r="B45" i="4" s="1"/>
  <c r="D45" i="4" a="1"/>
  <c r="D45" i="4" s="1"/>
  <c r="E45" i="4" a="1"/>
  <c r="E45" i="4" s="1"/>
  <c r="F45" i="4" a="1"/>
  <c r="F45" i="4" s="1"/>
  <c r="I42" i="3"/>
  <c r="J42" i="3"/>
  <c r="I41" i="3"/>
  <c r="J41" i="3"/>
  <c r="I40" i="3"/>
  <c r="J40" i="3"/>
  <c r="I39" i="3"/>
  <c r="J39" i="3"/>
  <c r="I38" i="3"/>
  <c r="J38" i="3"/>
  <c r="I37" i="3"/>
  <c r="J37" i="3"/>
  <c r="D44" i="4" a="1"/>
  <c r="D44" i="4" s="1"/>
  <c r="E44" i="4" a="1"/>
  <c r="E44" i="4" s="1"/>
  <c r="F44" i="4" a="1"/>
  <c r="F44" i="4" s="1"/>
  <c r="C24" i="4" a="1"/>
  <c r="C24" i="4" s="1"/>
  <c r="B24" i="4" s="1"/>
  <c r="C25" i="4" a="1"/>
  <c r="C25" i="4" s="1"/>
  <c r="B25" i="4" s="1"/>
  <c r="C26" i="4" a="1"/>
  <c r="C26" i="4" s="1"/>
  <c r="B26" i="4" s="1"/>
  <c r="C27" i="4" a="1"/>
  <c r="C27" i="4" s="1"/>
  <c r="B27" i="4" s="1"/>
  <c r="C28" i="4" a="1"/>
  <c r="C28" i="4" s="1"/>
  <c r="B28" i="4" s="1"/>
  <c r="C29" i="4" a="1"/>
  <c r="C29" i="4" s="1"/>
  <c r="B29" i="4" s="1"/>
  <c r="C30" i="4" a="1"/>
  <c r="C30" i="4" s="1"/>
  <c r="B30" i="4" s="1"/>
  <c r="C31" i="4" a="1"/>
  <c r="C31" i="4" s="1"/>
  <c r="B31" i="4" s="1"/>
  <c r="C32" i="4" a="1"/>
  <c r="C32" i="4" s="1"/>
  <c r="B32" i="4" s="1"/>
  <c r="C33" i="4" a="1"/>
  <c r="C33" i="4" s="1"/>
  <c r="B33" i="4" s="1"/>
  <c r="C34" i="4" a="1"/>
  <c r="C34" i="4" s="1"/>
  <c r="B34" i="4" s="1"/>
  <c r="C35" i="4" a="1"/>
  <c r="C35" i="4" s="1"/>
  <c r="B35" i="4" s="1"/>
  <c r="C36" i="4" a="1"/>
  <c r="C36" i="4" s="1"/>
  <c r="B36" i="4" s="1"/>
  <c r="C37" i="4" a="1"/>
  <c r="C37" i="4" s="1"/>
  <c r="B37" i="4" s="1"/>
  <c r="C38" i="4" a="1"/>
  <c r="C38" i="4" s="1"/>
  <c r="B38" i="4" s="1"/>
  <c r="C39" i="4" a="1"/>
  <c r="C39" i="4" s="1"/>
  <c r="B39" i="4" s="1"/>
  <c r="C40" i="4" a="1"/>
  <c r="C40" i="4" s="1"/>
  <c r="B40" i="4" s="1"/>
  <c r="C41" i="4" a="1"/>
  <c r="C41" i="4" s="1"/>
  <c r="B41" i="4" s="1"/>
  <c r="C42" i="4" a="1"/>
  <c r="C42" i="4" s="1"/>
  <c r="B42" i="4" s="1"/>
  <c r="C43" i="4" a="1"/>
  <c r="C43" i="4" s="1"/>
  <c r="B43" i="4" s="1"/>
  <c r="C44" i="4" a="1"/>
  <c r="C44" i="4" s="1"/>
  <c r="B44" i="4" s="1"/>
  <c r="D43" i="4" a="1"/>
  <c r="D43" i="4" s="1"/>
  <c r="E43" i="4" a="1"/>
  <c r="E43" i="4" s="1"/>
  <c r="F43" i="4" a="1"/>
  <c r="F43" i="4" s="1"/>
  <c r="C23" i="4" a="1"/>
  <c r="C23" i="4" s="1"/>
  <c r="I36" i="3"/>
  <c r="J36" i="3"/>
  <c r="I35" i="3"/>
  <c r="J35" i="3"/>
  <c r="I34" i="3"/>
  <c r="J34" i="3"/>
  <c r="D23" i="4" a="1"/>
  <c r="D23" i="4" s="1"/>
  <c r="D24" i="4" a="1"/>
  <c r="D24" i="4" s="1"/>
  <c r="D25" i="4" a="1"/>
  <c r="D25" i="4" s="1"/>
  <c r="D26" i="4" a="1"/>
  <c r="D26" i="4" s="1"/>
  <c r="D27" i="4" a="1"/>
  <c r="D27" i="4" s="1"/>
  <c r="D28" i="4" a="1"/>
  <c r="D28" i="4" s="1"/>
  <c r="D29" i="4" a="1"/>
  <c r="D29" i="4" s="1"/>
  <c r="E23" i="4" a="1"/>
  <c r="E23" i="4" s="1"/>
  <c r="E24" i="4" a="1"/>
  <c r="E24" i="4" s="1"/>
  <c r="E25" i="4" a="1"/>
  <c r="E25" i="4" s="1"/>
  <c r="E26" i="4" a="1"/>
  <c r="E26" i="4" s="1"/>
  <c r="E27" i="4" a="1"/>
  <c r="E27" i="4" s="1"/>
  <c r="E28" i="4" a="1"/>
  <c r="E28" i="4" s="1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 s="1"/>
  <c r="E35" i="4" a="1"/>
  <c r="E35" i="4" s="1"/>
  <c r="E36" i="4" a="1"/>
  <c r="E36" i="4" s="1"/>
  <c r="E37" i="4" a="1"/>
  <c r="E37" i="4" s="1"/>
  <c r="E38" i="4" a="1"/>
  <c r="E38" i="4" s="1"/>
  <c r="E39" i="4" a="1"/>
  <c r="E39" i="4" s="1"/>
  <c r="E40" i="4" a="1"/>
  <c r="E40" i="4" s="1"/>
  <c r="E41" i="4" a="1"/>
  <c r="E41" i="4" s="1"/>
  <c r="E42" i="4" a="1"/>
  <c r="E42" i="4" s="1"/>
  <c r="D30" i="4" a="1"/>
  <c r="D30" i="4" s="1"/>
  <c r="D31" i="4" a="1"/>
  <c r="D31" i="4" s="1"/>
  <c r="D32" i="4" a="1"/>
  <c r="D32" i="4" s="1"/>
  <c r="D33" i="4" a="1"/>
  <c r="D33" i="4" s="1"/>
  <c r="D34" i="4" a="1"/>
  <c r="D34" i="4" s="1"/>
  <c r="D35" i="4" a="1"/>
  <c r="D35" i="4" s="1"/>
  <c r="D36" i="4" a="1"/>
  <c r="D36" i="4" s="1"/>
  <c r="D37" i="4" a="1"/>
  <c r="D37" i="4" s="1"/>
  <c r="D38" i="4" a="1"/>
  <c r="D38" i="4" s="1"/>
  <c r="D39" i="4" a="1"/>
  <c r="D39" i="4" s="1"/>
  <c r="D40" i="4" a="1"/>
  <c r="D40" i="4" s="1"/>
  <c r="D41" i="4" a="1"/>
  <c r="D41" i="4" s="1"/>
  <c r="D42" i="4" a="1"/>
  <c r="D42" i="4" s="1"/>
  <c r="F41" i="4" a="1"/>
  <c r="F41" i="4" s="1"/>
  <c r="F42" i="4" a="1"/>
  <c r="F42" i="4" s="1"/>
  <c r="F24" i="4" a="1"/>
  <c r="F24" i="4" s="1"/>
  <c r="F25" i="4" a="1"/>
  <c r="F25" i="4" s="1"/>
  <c r="F26" i="4" a="1"/>
  <c r="F26" i="4" s="1"/>
  <c r="F27" i="4" a="1"/>
  <c r="F27" i="4" s="1"/>
  <c r="F28" i="4" a="1"/>
  <c r="F28" i="4" s="1"/>
  <c r="F29" i="4" a="1"/>
  <c r="F29" i="4" s="1"/>
  <c r="F30" i="4" a="1"/>
  <c r="F30" i="4" s="1"/>
  <c r="F31" i="4" a="1"/>
  <c r="F31" i="4" s="1"/>
  <c r="F32" i="4" a="1"/>
  <c r="F32" i="4" s="1"/>
  <c r="F33" i="4" a="1"/>
  <c r="F33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I33" i="3"/>
  <c r="J33" i="3"/>
  <c r="I32" i="3"/>
  <c r="J32" i="3"/>
  <c r="I31" i="3"/>
  <c r="J31" i="3"/>
  <c r="I30" i="3"/>
  <c r="J30" i="3"/>
  <c r="I29" i="3"/>
  <c r="J29" i="3"/>
  <c r="I28" i="3"/>
  <c r="J28" i="3"/>
  <c r="I27" i="3"/>
  <c r="J27" i="3"/>
  <c r="I26" i="3"/>
  <c r="J26" i="3"/>
  <c r="F6" i="2"/>
  <c r="J6" i="3" s="1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I25" i="3"/>
  <c r="I24" i="3"/>
  <c r="I23" i="3"/>
  <c r="I22" i="3"/>
  <c r="I21" i="3"/>
  <c r="I20" i="3"/>
  <c r="I19" i="3"/>
  <c r="I18" i="3"/>
  <c r="G22" i="4" l="1" a="1"/>
  <c r="G22" i="4" s="1"/>
  <c r="G45" i="4" a="1"/>
  <c r="G45" i="4" s="1"/>
  <c r="G44" i="4" a="1"/>
  <c r="G44" i="4" s="1"/>
  <c r="G43" i="4" a="1"/>
  <c r="G43" i="4" s="1"/>
  <c r="G42" i="4" a="1"/>
  <c r="G42" i="4" s="1"/>
  <c r="G39" i="4" a="1"/>
  <c r="G39" i="4" s="1"/>
  <c r="G31" i="4" a="1"/>
  <c r="G31" i="4" s="1"/>
  <c r="G25" i="4" a="1"/>
  <c r="G25" i="4" s="1"/>
  <c r="G35" i="4" a="1"/>
  <c r="G35" i="4" s="1"/>
  <c r="G41" i="4" a="1"/>
  <c r="G41" i="4" s="1"/>
  <c r="G27" i="4" a="1"/>
  <c r="G27" i="4" s="1"/>
  <c r="G33" i="4" a="1"/>
  <c r="G33" i="4" s="1"/>
  <c r="G36" i="4" a="1"/>
  <c r="G36" i="4" s="1"/>
  <c r="G28" i="4" a="1"/>
  <c r="G28" i="4" s="1"/>
  <c r="G30" i="4" a="1"/>
  <c r="G30" i="4" s="1"/>
  <c r="G37" i="4" a="1"/>
  <c r="G37" i="4" s="1"/>
  <c r="G29" i="4" a="1"/>
  <c r="G29" i="4" s="1"/>
  <c r="G24" i="4" a="1"/>
  <c r="G24" i="4" s="1"/>
  <c r="G38" i="4" a="1"/>
  <c r="G38" i="4" s="1"/>
  <c r="G40" i="4" a="1"/>
  <c r="G40" i="4" s="1"/>
  <c r="G32" i="4" a="1"/>
  <c r="G32" i="4" s="1"/>
  <c r="G34" i="4" a="1"/>
  <c r="G34" i="4" s="1"/>
  <c r="G26" i="4" a="1"/>
  <c r="G26" i="4" s="1"/>
  <c r="J11" i="2"/>
  <c r="J10" i="2" l="1"/>
  <c r="J9" i="2"/>
  <c r="J7" i="2" l="1"/>
  <c r="J8" i="2"/>
  <c r="I4" i="5"/>
  <c r="I3" i="5"/>
  <c r="K8" i="5"/>
  <c r="K9" i="5"/>
  <c r="K10" i="5"/>
  <c r="J8" i="5"/>
  <c r="J9" i="5"/>
  <c r="J10" i="5"/>
  <c r="H8" i="5"/>
  <c r="H9" i="5"/>
  <c r="L9" i="5" s="1"/>
  <c r="H10" i="5"/>
  <c r="L10" i="5" s="1"/>
  <c r="L8" i="5"/>
  <c r="E4" i="5"/>
  <c r="I5" i="5" l="1"/>
  <c r="E22" i="8"/>
  <c r="E21" i="8"/>
  <c r="I17" i="3"/>
  <c r="I16" i="3"/>
  <c r="I15" i="3"/>
  <c r="I14" i="3"/>
  <c r="I13" i="3"/>
  <c r="I12" i="3"/>
  <c r="E16" i="4" a="1"/>
  <c r="E16" i="4" s="1"/>
  <c r="G10" i="4" a="1"/>
  <c r="G10" i="4" s="1"/>
  <c r="B22" i="4"/>
  <c r="F23" i="4" a="1"/>
  <c r="F23" i="4" s="1"/>
  <c r="B49" i="4"/>
  <c r="B17" i="4"/>
  <c r="B16" i="4"/>
  <c r="B19" i="4"/>
  <c r="B18" i="4"/>
  <c r="I11" i="3"/>
  <c r="I10" i="3"/>
  <c r="I9" i="3"/>
  <c r="I8" i="3"/>
  <c r="I7" i="3"/>
  <c r="I6" i="3"/>
  <c r="E20" i="8"/>
  <c r="E19" i="8"/>
  <c r="J6" i="2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6" i="6"/>
  <c r="E19" i="4" l="1" a="1"/>
  <c r="E19" i="4" s="1"/>
  <c r="E15" i="4"/>
  <c r="B23" i="4"/>
  <c r="E17" i="4" a="1"/>
  <c r="E17" i="4" s="1"/>
  <c r="G23" i="4" a="1"/>
  <c r="G23" i="4" s="1"/>
  <c r="E18" i="4" a="1"/>
  <c r="E18" i="4" s="1"/>
  <c r="G51" i="4" l="1"/>
  <c r="G53" i="4" s="1"/>
</calcChain>
</file>

<file path=xl/sharedStrings.xml><?xml version="1.0" encoding="utf-8"?>
<sst xmlns="http://schemas.openxmlformats.org/spreadsheetml/2006/main" count="440" uniqueCount="177">
  <si>
    <t>Nom</t>
  </si>
  <si>
    <t>Adress</t>
  </si>
  <si>
    <t>Cp</t>
  </si>
  <si>
    <t>Ville</t>
  </si>
  <si>
    <t>Pays</t>
  </si>
  <si>
    <t>Téléphone</t>
  </si>
  <si>
    <t>Mail</t>
  </si>
  <si>
    <t>Group</t>
  </si>
  <si>
    <t>makepe</t>
  </si>
  <si>
    <t>Douala</t>
  </si>
  <si>
    <t>Cmr</t>
  </si>
  <si>
    <t>leoleomatrice@gmail.com</t>
  </si>
  <si>
    <t>momo1</t>
  </si>
  <si>
    <t>momo2</t>
  </si>
  <si>
    <t>momo3</t>
  </si>
  <si>
    <t>momo4</t>
  </si>
  <si>
    <t>momo5</t>
  </si>
  <si>
    <t>momo6</t>
  </si>
  <si>
    <t>momo7</t>
  </si>
  <si>
    <t>momo8</t>
  </si>
  <si>
    <t>momo9</t>
  </si>
  <si>
    <t>momo10</t>
  </si>
  <si>
    <t>momo11</t>
  </si>
  <si>
    <t>momo12</t>
  </si>
  <si>
    <t>momo13</t>
  </si>
  <si>
    <t>momo14</t>
  </si>
  <si>
    <t>momo15</t>
  </si>
  <si>
    <t>momo16</t>
  </si>
  <si>
    <t>Nr Article</t>
  </si>
  <si>
    <t>Description</t>
  </si>
  <si>
    <t>Prix unitaire</t>
  </si>
  <si>
    <t>Stock</t>
  </si>
  <si>
    <t>Valeur stock</t>
  </si>
  <si>
    <t>Stock min</t>
  </si>
  <si>
    <t>&gt;10</t>
  </si>
  <si>
    <t>Flag</t>
  </si>
  <si>
    <t>Vide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</si>
  <si>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</si>
  <si>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</si>
  <si>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</si>
  <si>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</si>
  <si>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</si>
  <si>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</si>
  <si>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</si>
  <si>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</si>
  <si>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</si>
  <si>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</si>
  <si>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art1</t>
  </si>
  <si>
    <t>art6</t>
  </si>
  <si>
    <t>Suffixe</t>
  </si>
  <si>
    <t>ART-00001</t>
  </si>
  <si>
    <t>test1</t>
  </si>
  <si>
    <t>ART-00002</t>
  </si>
  <si>
    <t>test2</t>
  </si>
  <si>
    <t>ART-00003</t>
  </si>
  <si>
    <t>test3</t>
  </si>
  <si>
    <t>TEST3</t>
  </si>
  <si>
    <t>Date</t>
  </si>
  <si>
    <t>prix</t>
  </si>
  <si>
    <t>prix total</t>
  </si>
  <si>
    <t>Fournisseur</t>
  </si>
  <si>
    <t>Order</t>
  </si>
  <si>
    <t>ORD-</t>
  </si>
  <si>
    <t>ORD-00001</t>
  </si>
  <si>
    <t>ORD-00002</t>
  </si>
  <si>
    <t>ORD-00003</t>
  </si>
  <si>
    <t>ETECH KEYS SARL</t>
  </si>
  <si>
    <t>Bon de commande</t>
  </si>
  <si>
    <t>NR commande</t>
  </si>
  <si>
    <t>Date :</t>
  </si>
  <si>
    <t>Ce numerro ci est propre a une commande</t>
  </si>
  <si>
    <t>Address de livraison</t>
  </si>
  <si>
    <t>Nr</t>
  </si>
  <si>
    <t>Total</t>
  </si>
  <si>
    <t>Total :</t>
  </si>
  <si>
    <t>Reduction %</t>
  </si>
  <si>
    <t>Net a payer</t>
  </si>
  <si>
    <t>pays</t>
  </si>
  <si>
    <t>Tel</t>
  </si>
  <si>
    <t>Condition</t>
  </si>
  <si>
    <t>Entreprise</t>
  </si>
  <si>
    <t>Douala-makepe</t>
  </si>
  <si>
    <t>Cameroun</t>
  </si>
  <si>
    <t>merci de nous faire confiance</t>
  </si>
  <si>
    <t>JEAN</t>
  </si>
  <si>
    <t>dE</t>
  </si>
  <si>
    <t>giresse</t>
  </si>
  <si>
    <t>ORD-00004</t>
  </si>
  <si>
    <t>ORD-00005</t>
  </si>
  <si>
    <t>Sortie</t>
  </si>
  <si>
    <t>Nav bar</t>
  </si>
  <si>
    <t>Page 1</t>
  </si>
  <si>
    <t>Page 2</t>
  </si>
  <si>
    <t>Page 3</t>
  </si>
  <si>
    <t>Page 4</t>
  </si>
  <si>
    <t>Page 5</t>
  </si>
  <si>
    <t>Page 6</t>
  </si>
  <si>
    <t>Page 7</t>
  </si>
  <si>
    <t>Page 8</t>
  </si>
  <si>
    <t>Commande</t>
  </si>
  <si>
    <t>Config</t>
  </si>
  <si>
    <t>Nav color</t>
  </si>
  <si>
    <t>Produit</t>
  </si>
  <si>
    <t>Accueil</t>
  </si>
  <si>
    <t>Catégorie</t>
  </si>
  <si>
    <t>PRO-</t>
  </si>
  <si>
    <t>Inventaire</t>
  </si>
  <si>
    <t>IVT-</t>
  </si>
  <si>
    <t>CAT-</t>
  </si>
  <si>
    <t>ID Article</t>
  </si>
  <si>
    <t>Date de creation</t>
  </si>
  <si>
    <t>Id Catégorie</t>
  </si>
  <si>
    <t>CAT-00001</t>
  </si>
  <si>
    <t>croi</t>
  </si>
  <si>
    <t>CAT-00002</t>
  </si>
  <si>
    <t>lait</t>
  </si>
  <si>
    <t>CAT-00003</t>
  </si>
  <si>
    <t>vint</t>
  </si>
  <si>
    <t>wisky</t>
  </si>
  <si>
    <t>biscuit</t>
  </si>
  <si>
    <t>Reference du produit</t>
  </si>
  <si>
    <t>Stock initial</t>
  </si>
  <si>
    <t>Entrée</t>
  </si>
  <si>
    <t>perte</t>
  </si>
  <si>
    <t>Stock final</t>
  </si>
  <si>
    <t>PU</t>
  </si>
  <si>
    <t>Total vente :</t>
  </si>
  <si>
    <t>Total entrée :</t>
  </si>
  <si>
    <t>Etat des stocks à jour au :</t>
  </si>
  <si>
    <t>Total Entree</t>
  </si>
  <si>
    <t>Total sortie</t>
  </si>
  <si>
    <t>PRO-0001</t>
  </si>
  <si>
    <t>PRO-0002</t>
  </si>
  <si>
    <t>PRO-0003</t>
  </si>
  <si>
    <t>Sardine</t>
  </si>
  <si>
    <t>Eléna</t>
  </si>
  <si>
    <t>cube</t>
  </si>
  <si>
    <t>Reference commande</t>
  </si>
  <si>
    <t>Référence produit</t>
  </si>
  <si>
    <t>Nom du produit</t>
  </si>
  <si>
    <t>Quantité</t>
  </si>
  <si>
    <t>sardine</t>
  </si>
  <si>
    <t>Entrée/Sortie</t>
  </si>
  <si>
    <t>test</t>
  </si>
  <si>
    <t>PRO-00005</t>
  </si>
  <si>
    <t>PRO-00006</t>
  </si>
  <si>
    <t>cahier</t>
  </si>
  <si>
    <t>cahierr</t>
  </si>
  <si>
    <t>CAT-00007</t>
  </si>
  <si>
    <t>fourniture scolaire</t>
  </si>
  <si>
    <t>CAT-00008</t>
  </si>
  <si>
    <t>Aliments</t>
  </si>
  <si>
    <t>PRO-00007</t>
  </si>
  <si>
    <t>test7</t>
  </si>
  <si>
    <t>ORD-00006</t>
  </si>
  <si>
    <t>contrôle</t>
  </si>
  <si>
    <t>ORD-00007</t>
  </si>
  <si>
    <t>ORD-00008</t>
  </si>
  <si>
    <t>Facture</t>
  </si>
  <si>
    <t>ORD-00009</t>
  </si>
  <si>
    <t>ORD-00010</t>
  </si>
  <si>
    <t>ORD-00011</t>
  </si>
  <si>
    <t>ORD-00012</t>
  </si>
  <si>
    <t>ORD-00013</t>
  </si>
  <si>
    <t>ORD-00014</t>
  </si>
  <si>
    <t>ORD-00015</t>
  </si>
  <si>
    <t>ORD-00016</t>
  </si>
  <si>
    <t>ORD-00017</t>
  </si>
  <si>
    <t>PRO-00008</t>
  </si>
  <si>
    <t>sar</t>
  </si>
  <si>
    <t>ORD-00018</t>
  </si>
  <si>
    <t>PRO-00009</t>
  </si>
  <si>
    <t>PRO-00010</t>
  </si>
  <si>
    <t>PRO-00011</t>
  </si>
  <si>
    <t>nido</t>
  </si>
  <si>
    <t>nido en sachet</t>
  </si>
  <si>
    <t>ORD-00019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</si>
</sst>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 Besoin&quot;"/>
    <numFmt numFmtId="166" formatCode="#,##0.00\ [$XAF]"/>
    <numFmt numFmtId="167" formatCode="dd/mm/yy;@"/>
    <numFmt numFmtId="168" formatCode="m/d/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rgb="FF00B0F0"/>
      <name val="Calibri"/>
      <family val="2"/>
      <scheme val="minor"/>
    </font>
    <font>
      <b/>
      <sz val="22"/>
      <color theme="1"/>
      <name val="Calibri Light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theme="4"/>
      </patternFill>
    </fill>
  </fills>
  <borders count="1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ashDotDot">
        <color auto="1"/>
      </bottom>
      <diagonal/>
    </border>
    <border>
      <left/>
      <right/>
      <top style="dashDotDot">
        <color auto="1"/>
      </top>
      <bottom/>
      <diagonal/>
    </border>
    <border>
      <left/>
      <right/>
      <top/>
      <bottom style="mediumDashDot">
        <color indexed="64"/>
      </bottom>
      <diagonal/>
    </border>
    <border>
      <left/>
      <right/>
      <top/>
      <bottom style="mediumDashed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dashDot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67">
    <xf numFmtId="0" fontId="0" fillId="0" borderId="0" xfId="0"/>
    <xf numFmtId="0" fontId="3" fillId="0" borderId="0" xfId="2"/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0" borderId="2" xfId="0" applyBorder="1"/>
    <xf numFmtId="0" fontId="2" fillId="3" borderId="0" xfId="0" applyFont="1" applyFill="1" applyAlignment="1">
      <alignment horizontal="left"/>
    </xf>
    <xf numFmtId="0" fontId="0" fillId="0" borderId="3" xfId="0" applyBorder="1"/>
    <xf numFmtId="0" fontId="0" fillId="0" borderId="0" xfId="0" applyFill="1"/>
    <xf numFmtId="0" fontId="2" fillId="0" borderId="0" xfId="0" applyFont="1" applyFill="1" applyAlignment="1">
      <alignment horizontal="left"/>
    </xf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0" fillId="0" borderId="0" xfId="0" applyBorder="1" applyAlignment="1">
      <alignment horizontal="left" vertical="top"/>
    </xf>
    <xf numFmtId="0" fontId="0" fillId="0" borderId="0" xfId="0" applyBorder="1"/>
    <xf numFmtId="166" fontId="0" fillId="0" borderId="9" xfId="0" applyNumberFormat="1" applyBorder="1"/>
    <xf numFmtId="0" fontId="2" fillId="3" borderId="3" xfId="0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166" fontId="0" fillId="0" borderId="2" xfId="1" applyNumberFormat="1" applyFont="1" applyBorder="1"/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left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horizontal="center" vertical="center" wrapText="1"/>
    </xf>
    <xf numFmtId="0" fontId="2" fillId="3" borderId="3" xfId="0" applyFont="1" applyFill="1" applyBorder="1" applyAlignment="1">
      <alignment horizontal="left"/>
    </xf>
    <xf numFmtId="0" fontId="0" fillId="0" borderId="0" xfId="0" applyAlignment="1">
      <alignment horizontal="center" vertical="top" wrapText="1"/>
    </xf>
    <xf numFmtId="166" fontId="0" fillId="0" borderId="0" xfId="0" applyNumberFormat="1" applyAlignment="1">
      <alignment horizontal="center" vertical="top" wrapText="1"/>
    </xf>
    <xf numFmtId="165" fontId="0" fillId="0" borderId="0" xfId="0" applyNumberFormat="1" applyAlignment="1">
      <alignment horizontal="right" wrapText="1"/>
    </xf>
    <xf numFmtId="165" fontId="0" fillId="0" borderId="0" xfId="0" applyNumberFormat="1" applyAlignment="1">
      <alignment horizontal="left" wrapText="1"/>
    </xf>
    <xf numFmtId="167" fontId="0" fillId="0" borderId="0" xfId="0" applyNumberFormat="1"/>
    <xf numFmtId="167" fontId="0" fillId="2" borderId="1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167" fontId="0" fillId="2" borderId="12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7" fontId="0" fillId="2" borderId="0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wrapText="1"/>
    </xf>
    <xf numFmtId="14" fontId="0" fillId="0" borderId="0" xfId="0" applyNumberFormat="1" applyAlignment="1">
      <alignment horizontal="center" vertical="center" wrapText="1"/>
    </xf>
    <xf numFmtId="0" fontId="4" fillId="0" borderId="0" xfId="0" applyFont="1" applyAlignment="1">
      <alignment horizontal="center" vertical="top" wrapText="1"/>
    </xf>
    <xf numFmtId="0" fontId="2" fillId="6" borderId="11" xfId="0" applyFont="1" applyFill="1" applyBorder="1" applyAlignment="1">
      <alignment horizontal="center"/>
    </xf>
    <xf numFmtId="167" fontId="2" fillId="6" borderId="11" xfId="0" applyNumberFormat="1" applyFont="1" applyFill="1" applyBorder="1" applyAlignment="1">
      <alignment horizontal="center"/>
    </xf>
    <xf numFmtId="3" fontId="0" fillId="0" borderId="0" xfId="0" applyNumberFormat="1" applyAlignment="1">
      <alignment horizontal="center" vertical="center" wrapText="1"/>
    </xf>
    <xf numFmtId="166" fontId="0" fillId="0" borderId="0" xfId="1" applyNumberFormat="1" applyFont="1" applyBorder="1"/>
    <xf numFmtId="0" fontId="0" fillId="0" borderId="0" xfId="1" applyNumberFormat="1" applyFont="1" applyBorder="1"/>
    <xf numFmtId="0" fontId="0" fillId="0" borderId="0" xfId="0" applyNumberFormat="1" applyBorder="1" applyAlignment="1">
      <alignment wrapText="1"/>
    </xf>
    <xf numFmtId="0" fontId="0" fillId="0" borderId="0" xfId="0" applyNumberFormat="1" applyBorder="1"/>
    <xf numFmtId="0" fontId="0" fillId="0" borderId="8" xfId="0" applyBorder="1"/>
    <xf numFmtId="168" fontId="0" fillId="0" borderId="0" xfId="0" applyNumberFormat="1" applyAlignment="1">
      <alignment horizontal="center" vertical="center" wrapText="1"/>
    </xf>
    <xf numFmtId="0" fontId="0" fillId="0" borderId="8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0" fillId="0" borderId="7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7" fillId="0" borderId="0" xfId="0" applyFont="1" applyAlignment="1">
      <alignment horizontal="left" vertical="center" wrapText="1"/>
    </xf>
    <xf numFmtId="14" fontId="8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center" vertical="top" wrapText="1"/>
    </xf>
    <xf numFmtId="167" fontId="0" fillId="0" borderId="0" xfId="0" applyNumberFormat="1" applyAlignment="1">
      <alignment horizontal="center" vertical="top" wrapText="1"/>
    </xf>
  </cellXfs>
  <cellStyles count="3">
    <cellStyle name="Lien hypertexte" xfId="2" builtinId="8"/>
    <cellStyle name="Monétaire" xfId="1" builtinId="4"/>
    <cellStyle name="Normal" xfId="0" builtinId="0"/>
  </cellStyles>
  <dxfs count="7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4.9989318521683403E-2"/>
        </patternFill>
      </fill>
    </dxf>
    <dxf>
      <fill>
        <patternFill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dd/mm/yy;@"/>
      <alignment horizontal="center" vertical="top" textRotation="0" wrapText="1" indent="0" justifyLastLine="0" shrinkToFit="0" readingOrder="0"/>
    </dxf>
    <dxf>
      <numFmt numFmtId="166" formatCode="#,##0.00\ [$XAF]"/>
      <alignment horizontal="center" vertical="center" textRotation="0" wrapText="1" indent="0" justifyLastLine="0" shrinkToFit="0" readingOrder="0"/>
    </dxf>
    <dxf>
      <numFmt numFmtId="166" formatCode="#,##0.00\ [$XAF]"/>
      <alignment horizontal="center" vertical="center" textRotation="0" wrapText="1" indent="0" justifyLastLine="0" shrinkToFit="0" readingOrder="0"/>
    </dxf>
    <dxf>
      <numFmt numFmtId="166" formatCode="#,##0.00\ [$XAF]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dd/mm/yy;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/>
          <bgColor theme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center" vertical="center" textRotation="0" wrapText="1" indent="0" justifyLastLine="0" shrinkToFit="0" readingOrder="0"/>
    </dxf>
    <dxf>
      <numFmt numFmtId="166" formatCode="#,##0.00\ [$XAF]"/>
      <alignment horizontal="center" vertical="center" textRotation="0" wrapText="1" indent="0" justifyLastLine="0" shrinkToFit="0" readingOrder="0"/>
    </dxf>
    <dxf>
      <numFmt numFmtId="166" formatCode="#,##0.00\ [$XAF]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8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numFmt numFmtId="165" formatCode="&quot; Besoin&quot;"/>
      <alignment horizontal="left" vertical="bottom" textRotation="0" wrapText="1" indent="0" justifyLastLine="0" shrinkToFit="0" readingOrder="0"/>
    </dxf>
    <dxf>
      <numFmt numFmtId="165" formatCode="&quot; Besoin&quot;"/>
      <alignment horizontal="right" vertical="bottom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numFmt numFmtId="0" formatCode="General"/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5</xdr:row>
      <xdr:rowOff>152400</xdr:rowOff>
    </xdr:from>
    <xdr:to>
      <xdr:col>10</xdr:col>
      <xdr:colOff>66675</xdr:colOff>
      <xdr:row>14</xdr:row>
      <xdr:rowOff>180975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581150" y="1428750"/>
          <a:ext cx="6105525" cy="1743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Application de gestion de stock pour l'entreprise</a:t>
          </a:r>
          <a:r>
            <a:rPr lang="fr-FR" sz="1800" b="1" baseline="0"/>
            <a:t> ETECH KEYS</a:t>
          </a:r>
          <a:endParaRPr lang="fr-FR" sz="1800" b="1"/>
        </a:p>
      </xdr:txBody>
    </xdr:sp>
    <xdr:clientData/>
  </xdr:twoCellAnchor>
  <xdr:twoCellAnchor editAs="absolute">
    <xdr:from>
      <xdr:col>1</xdr:col>
      <xdr:colOff>0</xdr:colOff>
      <xdr:row>0</xdr:row>
      <xdr:rowOff>152400</xdr:rowOff>
    </xdr:from>
    <xdr:to>
      <xdr:col>12</xdr:col>
      <xdr:colOff>64148</xdr:colOff>
      <xdr:row>1</xdr:row>
      <xdr:rowOff>17106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62000" y="152400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7" name="page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8" name="page6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9" name="page7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0" name="page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1" name="page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3" name="page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2</xdr:row>
          <xdr:rowOff>47625</xdr:rowOff>
        </xdr:from>
        <xdr:to>
          <xdr:col>2</xdr:col>
          <xdr:colOff>123825</xdr:colOff>
          <xdr:row>3</xdr:row>
          <xdr:rowOff>180975</xdr:rowOff>
        </xdr:to>
        <xdr:sp macro="" textlink="">
          <xdr:nvSpPr>
            <xdr:cNvPr id="3077" name="btn_add_articl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9525</xdr:colOff>
      <xdr:row>0</xdr:row>
      <xdr:rowOff>133350</xdr:rowOff>
    </xdr:from>
    <xdr:to>
      <xdr:col>10</xdr:col>
      <xdr:colOff>73673</xdr:colOff>
      <xdr:row>1</xdr:row>
      <xdr:rowOff>7581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1525" y="133350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7" name="page8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8" name="page6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9" name="page7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0" name="page3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1" name="page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2" name="page5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</xdr:row>
          <xdr:rowOff>142875</xdr:rowOff>
        </xdr:from>
        <xdr:to>
          <xdr:col>2</xdr:col>
          <xdr:colOff>400050</xdr:colOff>
          <xdr:row>4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133350</xdr:rowOff>
    </xdr:from>
    <xdr:to>
      <xdr:col>7</xdr:col>
      <xdr:colOff>502298</xdr:colOff>
      <xdr:row>1</xdr:row>
      <xdr:rowOff>7581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62000" y="133350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7" name="page8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8" name="page6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9" name="page7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0" name="page3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1" name="page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2" name="page5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133350</xdr:rowOff>
    </xdr:from>
    <xdr:to>
      <xdr:col>8</xdr:col>
      <xdr:colOff>226073</xdr:colOff>
      <xdr:row>0</xdr:row>
      <xdr:rowOff>512406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762000" y="133350"/>
          <a:ext cx="8446148" cy="379056"/>
          <a:chOff x="719235" y="238125"/>
          <a:chExt cx="7377016" cy="37905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4" name="page1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5" name="page2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6" name="page8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7" name="page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8" name="page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9" name="page3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0" name="page4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1" name="page5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123825</xdr:rowOff>
    </xdr:from>
    <xdr:to>
      <xdr:col>9</xdr:col>
      <xdr:colOff>359423</xdr:colOff>
      <xdr:row>0</xdr:row>
      <xdr:rowOff>502881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752475" y="123825"/>
          <a:ext cx="8446148" cy="379056"/>
          <a:chOff x="719235" y="238125"/>
          <a:chExt cx="7377016" cy="37905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4" name="page1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5" name="page2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6" name="page8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7" name="page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8" name="page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9" name="page3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0" name="page4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1" name="page5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2</xdr:row>
          <xdr:rowOff>66675</xdr:rowOff>
        </xdr:from>
        <xdr:to>
          <xdr:col>1</xdr:col>
          <xdr:colOff>895350</xdr:colOff>
          <xdr:row>4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123825</xdr:rowOff>
    </xdr:from>
    <xdr:to>
      <xdr:col>9</xdr:col>
      <xdr:colOff>273698</xdr:colOff>
      <xdr:row>0</xdr:row>
      <xdr:rowOff>502881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762000" y="123825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7" name="page8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8" name="page6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9" name="page7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0" name="page3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1" name="page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2" name="page5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738673</xdr:colOff>
      <xdr:row>0</xdr:row>
      <xdr:rowOff>228406</xdr:rowOff>
    </xdr:from>
    <xdr:to>
      <xdr:col>11</xdr:col>
      <xdr:colOff>0</xdr:colOff>
      <xdr:row>0</xdr:row>
      <xdr:rowOff>607462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pSpPr/>
      </xdr:nvGrpSpPr>
      <xdr:grpSpPr>
        <a:xfrm>
          <a:off x="738673" y="228406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10" name="page8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11" name="page6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12" name="page7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4" name="page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5" name="page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7" name="page5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133350</xdr:rowOff>
    </xdr:from>
    <xdr:to>
      <xdr:col>8</xdr:col>
      <xdr:colOff>959498</xdr:colOff>
      <xdr:row>0</xdr:row>
      <xdr:rowOff>512406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762000" y="133350"/>
          <a:ext cx="8446148" cy="379056"/>
          <a:chOff x="719235" y="238125"/>
          <a:chExt cx="7377016" cy="37905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4" name="page1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5" name="page2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6" name="page8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7" name="page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8" name="page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9" name="page3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0" name="page4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1" name="page5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D057BE-7DB6-474A-82F1-184D01CB703B}" name="Tableau3" displayName="Tableau3" ref="B5:W15" totalsRowShown="0" headerRowDxfId="77" dataDxfId="76">
  <autoFilter ref="B5:W15" xr:uid="{CB61AC45-C9D6-49CD-8C1C-953D6FE50F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37B7DC5B-0A04-45F6-AAB1-59372521F66B}" name="ID Article" dataDxfId="75"/>
    <tableColumn id="2" xr3:uid="{15B62181-E84A-47D6-A337-02703CBA3EA1}" name="Nom" dataDxfId="74"/>
    <tableColumn id="3" xr3:uid="{C33E1B8F-8582-4C0D-8A13-95159599E7CA}" name="Description" dataDxfId="73"/>
    <tableColumn id="4" xr3:uid="{C2435DB5-4298-4D6D-9DD1-0C20C3CCE321}" name="Prix unitaire" dataDxfId="72"/>
    <tableColumn id="5" xr3:uid="{4D3B95C9-6955-4409-BEDC-716BCD9659EB}" name="Stock" dataDxfId="71">
      <calculatedColumnFormula>SUMIFS(commande[Quantité],commande[Référence produit],Tableau3[[#This Row],[ID Article]],commande[Entrée/Sortie],"Entrée")-SUMIFS(commande[Quantité],commande[Référence produit],Tableau3[[#This Row],[ID Article]],commande[Entrée/Sortie],"Sortie")</calculatedColumnFormula>
    </tableColumn>
    <tableColumn id="6" xr3:uid="{5D93F33F-10A6-436C-B492-C5D422EF82E3}" name="Valeur stock" dataDxfId="70"/>
    <tableColumn id="7" xr3:uid="{6DC8803A-2AD8-4644-8B54-4F41AC17CF53}" name="Stock min" dataDxfId="69"/>
    <tableColumn id="22" xr3:uid="{ADBE5907-1D88-49CA-8CBF-FA85DE94942C}" name="Date" dataDxfId="7"/>
    <tableColumn id="8" xr3:uid="{E64B42AA-4432-4869-A800-B7A2D9D6FE35}" name="Flag" dataDxfId="68">
      <calculatedColumnFormula>IF(F6&lt;H6,1,"")</calculatedColumnFormula>
    </tableColumn>
    <tableColumn id="21" xr3:uid="{44ADAD06-CD4E-495F-9C53-D7A8DAC3B62C}" name="Catégorie" dataDxfId="67"/>
    <tableColumn id="9" xr3:uid="{79EDF4F1-23BD-4377-998B-B8D3B33838FD}" name="Vide" dataDxfId="66"/>
    <tableColumn id="10" xr3:uid="{B6C31B62-9AF8-4270-B090-8D1FD7A17082}" name="1" dataDxfId="65"/>
    <tableColumn id="11" xr3:uid="{3AFC9920-4E4D-4962-AD2C-7A61146FFDA2}" name="2" dataDxfId="64"/>
    <tableColumn id="12" xr3:uid="{A22DAEE4-F899-4C15-8724-C4C785BB6173}" name="3" dataDxfId="63"/>
    <tableColumn id="13" xr3:uid="{11E98A11-483D-43B2-B984-EFA749B11329}" name="4" dataDxfId="62"/>
    <tableColumn id="14" xr3:uid="{9428DF69-3292-4239-9490-1CD71B19AA69}" name="5" dataDxfId="61"/>
    <tableColumn id="15" xr3:uid="{21C00672-C03F-436F-9EFB-1AD021E24241}" name="6" dataDxfId="60"/>
    <tableColumn id="16" xr3:uid="{0F6EB4CB-E46D-4B9D-A42D-E7363ABD9B9B}" name="7" dataDxfId="59"/>
    <tableColumn id="17" xr3:uid="{4F8C77FE-2848-46F1-8E90-0E8EC25AF8AE}" name="8" dataDxfId="58"/>
    <tableColumn id="18" xr3:uid="{247B6321-DE91-4DEB-8910-F7080E5FCA08}" name="9" dataDxfId="57"/>
    <tableColumn id="19" xr3:uid="{B7432437-910C-492F-B484-CD4AE38C65C1}" name="10" dataDxfId="56"/>
    <tableColumn id="20" xr3:uid="{70FCF8FF-8D65-40F8-BB48-4D13BA204A14}" name="&gt;10" dataDxfId="5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1F0FD84-9462-41C3-9183-155CAA79B056}" name="commande" displayName="commande" ref="B5:J52" totalsRowShown="0" headerRowDxfId="54" dataDxfId="53">
  <autoFilter ref="B5:J52" xr:uid="{489EA640-785F-45CB-9889-B42E7598A0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9">
    <tableColumn id="1" xr3:uid="{6D41556D-58C3-4C71-9B9E-641EDDC4699B}" name="Reference commande" dataDxfId="52"/>
    <tableColumn id="2" xr3:uid="{ADA22E41-B72A-48F1-9A05-B1AD92130A92}" name="Date" dataDxfId="51"/>
    <tableColumn id="3" xr3:uid="{44D53800-381F-42F8-8F5E-618643478433}" name="Référence produit" dataDxfId="50"/>
    <tableColumn id="4" xr3:uid="{5D6156D4-09FE-41D4-AC9A-8975CD121E96}" name="Nom du produit" dataDxfId="49"/>
    <tableColumn id="8" xr3:uid="{63D7D377-565B-42AC-B60B-F5BAAA51AEEF}" name="Entrée/Sortie" dataDxfId="48"/>
    <tableColumn id="5" xr3:uid="{A311E498-CBC5-4877-BF4B-01C7E2A611FD}" name="Quantité" dataDxfId="47"/>
    <tableColumn id="6" xr3:uid="{64FBCDE1-2FFE-44BF-9BCB-A68861CCA287}" name="prix" dataDxfId="46"/>
    <tableColumn id="7" xr3:uid="{78034202-09DF-4269-BF4F-988387271A21}" name="prix total" dataDxfId="45">
      <calculatedColumnFormula>G6*H6</calculatedColumnFormula>
    </tableColumn>
    <tableColumn id="9" xr3:uid="{96EAF651-4A42-4716-A90F-684FF9A9E0B9}" name="contrôle" dataDxfId="44">
      <calculatedColumnFormula>IFERROR(IF(commande[[#This Row],[Entrée/Sortie]]="Sortie",Tableau3[[#This Row],[Stock]]-commande[[#This Row],[Quantité]],Tableau3[Stock]+commande[[#This Row],[Quantité]]),"")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16D90D-CF07-465B-93AD-CE0B50FCC144}" name="Tableau5" displayName="Tableau5" ref="B21:G45" totalsRowShown="0">
  <autoFilter ref="B21:G45" xr:uid="{57A6E535-9A4A-486D-8664-6139118A94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3C5817C-BE8B-46A5-A329-A3345D6CF7AB}" name="Nr" dataDxfId="43">
      <calculatedColumnFormula>IF(C22 &lt;&gt; "", ROW()-21,"")</calculatedColumnFormula>
    </tableColumn>
    <tableColumn id="2" xr3:uid="{7CFF30CA-CFA9-4E7B-9D1D-91A991F12415}" name="Nr Article" dataDxfId="42">
      <calculatedColumnFormula array="1">IFERROR(INDEX(commande[Référence produit],SMALL(IF(commande[Reference commande]=Facture!$C$10, ROW(commande[Référence produit])-5),ROW()-21)),"")</calculatedColumnFormula>
    </tableColumn>
    <tableColumn id="3" xr3:uid="{4AD25552-0CD8-4375-8986-FEE2F57D43DD}" name="Nom" dataDxfId="41">
      <calculatedColumnFormula array="1">IFERROR(INDEX(commande[Nom du produit],SMALL(IF(commande[Reference commande]=Facture!$C$10, ROW(commande[Référence produit])-5),ROW()-21)),"")</calculatedColumnFormula>
    </tableColumn>
    <tableColumn id="4" xr3:uid="{FB3F0E24-521A-4E61-B3E7-47DBF5848787}" name="Quantité" dataDxfId="40">
      <calculatedColumnFormula array="1">IFERROR(INDEX(commande[Quantité],SMALL(IF(commande[Reference commande]=Facture!$C$10, ROW(commande[Référence produit])-5),ROW()-21)),"")</calculatedColumnFormula>
    </tableColumn>
    <tableColumn id="5" xr3:uid="{4DE798B0-B68A-4B14-8C52-08F9D6AD7C85}" name="Prix unitaire" dataDxfId="39">
      <calculatedColumnFormula array="1">IFERROR(INDEX(commande[prix],SMALL(IF(commande[Reference commande]=Facture!$C$10, ROW(commande[Référence produit])-5),ROW()-21)),"")</calculatedColumnFormula>
    </tableColumn>
    <tableColumn id="6" xr3:uid="{7529AD9B-231D-4760-8B85-D132E2F8A963}" name="Total" dataDxfId="38">
      <calculatedColumnFormula array="1">IFERROR(E22*F22,"")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8BD3E7-F412-426E-AFF5-6275D3AA249C}" name="fornisseur" displayName="fornisseur" ref="B5:I21" totalsRowShown="0" headerRowDxfId="37" dataDxfId="36">
  <autoFilter ref="B5:I21" xr:uid="{9BD94167-2D6A-4D21-8281-3307C390941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D1EA5E1-E74E-4953-B1AE-575A80E863F9}" name="Nom" dataDxfId="35"/>
    <tableColumn id="2" xr3:uid="{A075E207-2092-43A6-A104-7C548BEE5F5D}" name="Adress" dataDxfId="34"/>
    <tableColumn id="3" xr3:uid="{F45FC5E7-F34B-45DB-9072-3D27CF0AC478}" name="Cp" dataDxfId="33"/>
    <tableColumn id="4" xr3:uid="{28EF0FFF-ECB8-4D1A-8882-FEA0A1E0DE55}" name="Ville" dataDxfId="32"/>
    <tableColumn id="5" xr3:uid="{5A059B4B-1C7B-4342-912A-AA06F7AAB4CF}" name="Pays" dataDxfId="31"/>
    <tableColumn id="6" xr3:uid="{06D73049-9CD9-4083-AAE9-D01217F00145}" name="Téléphone" dataDxfId="30"/>
    <tableColumn id="7" xr3:uid="{6A95F3CC-9586-4FA9-93E6-C83825B2C440}" name="Mail" dataDxfId="29" dataCellStyle="Lien hypertexte"/>
    <tableColumn id="8" xr3:uid="{75491947-E42D-45E8-B4B8-EB9C16C6E5A7}" name="Group" dataDxfId="28">
      <calculatedColumnFormula>CONCATENATE(LEFT(F6,3),"-",E6)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D930D79-501A-4FF6-B264-D7DB0B70F8EA}" name="Tableau7" displayName="Tableau7" ref="B5:D13" totalsRowShown="0" headerRowDxfId="27" headerRowBorderDxfId="26" tableBorderDxfId="25" totalsRowBorderDxfId="24">
  <autoFilter ref="B5:D13" xr:uid="{1784B8FD-E78E-4943-8773-D5178D91B4E3}">
    <filterColumn colId="0" hiddenButton="1"/>
    <filterColumn colId="1" hiddenButton="1"/>
    <filterColumn colId="2" hiddenButton="1"/>
  </autoFilter>
  <tableColumns count="3">
    <tableColumn id="1" xr3:uid="{C0FF6D5A-0340-4509-A16C-150ADDEBBF77}" name="Id Catégorie" dataDxfId="23"/>
    <tableColumn id="2" xr3:uid="{504662B2-1ABC-484A-841C-D8351DADDE07}" name="Nom" dataDxfId="22"/>
    <tableColumn id="3" xr3:uid="{BF056D3C-5B87-4BE8-BE66-971F47AE1E19}" name="Date de creation" dataDxfId="21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6D8F7C-F040-4341-B8B2-CFB0B6A239AA}" name="Tableau6" displayName="Tableau6" ref="B7:L10" totalsRowShown="0" headerRowDxfId="20" dataDxfId="19">
  <autoFilter ref="B7:L10" xr:uid="{50FA7D08-7287-4B30-82F9-E4C59B6EE33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10" hiddenButton="1"/>
  </autoFilter>
  <tableColumns count="11">
    <tableColumn id="1" xr3:uid="{948DE6B0-37FF-4AD4-A994-D8A94EB495D4}" name="Reference du produit" dataDxfId="18"/>
    <tableColumn id="2" xr3:uid="{8BAD1D3D-D2BF-4D28-9E42-59F713A5D33C}" name="Nom" dataDxfId="17"/>
    <tableColumn id="3" xr3:uid="{7009FCA0-E11E-4510-AAE6-B6E2F1549196}" name="Stock initial" dataDxfId="16"/>
    <tableColumn id="4" xr3:uid="{7183C941-3B41-40DB-B30C-D002748E40FA}" name="Entrée" dataDxfId="15"/>
    <tableColumn id="5" xr3:uid="{500BA786-755E-41AA-9B0F-9CFBF14404A7}" name="Sortie" dataDxfId="14"/>
    <tableColumn id="6" xr3:uid="{9DC35622-E5FE-48D3-BB1C-D6DB52B92EDB}" name="perte" dataDxfId="13"/>
    <tableColumn id="7" xr3:uid="{7AFDB00A-CE63-41D2-9A25-CB99F461C225}" name="Stock final" dataDxfId="12">
      <calculatedColumnFormula>IFERROR((Tableau6[[#This Row],[Stock initial]]+Tableau6[[#This Row],[Entrée]])-(Tableau6[[#This Row],[Sortie]]+Tableau6[[#This Row],[perte]]),"")</calculatedColumnFormula>
    </tableColumn>
    <tableColumn id="9" xr3:uid="{FBF4B3D6-7CC3-42C9-B0F2-D0F5996722B0}" name="PU" dataDxfId="11"/>
    <tableColumn id="11" xr3:uid="{34B28CCA-CEE6-4A07-93F6-45BC57EDDA26}" name="Total Entree" dataDxfId="10">
      <calculatedColumnFormula>IFERROR(Tableau6[[#This Row],[Entrée]]*Tableau6[[#This Row],[PU]],"")</calculatedColumnFormula>
    </tableColumn>
    <tableColumn id="10" xr3:uid="{3426E0DE-A083-4B39-A588-652E17512320}" name="Total sortie" dataDxfId="9">
      <calculatedColumnFormula>IFERROR((Tableau6[[#This Row],[Sortie]]+Tableau6[[#This Row],[perte]])*Tableau6[[#This Row],[PU]],"")</calculatedColumnFormula>
    </tableColumn>
    <tableColumn id="8" xr3:uid="{3574E1DA-ECCF-49FC-AA90-1B3D1820CB3F}" name="Total" dataDxfId="8">
      <calculatedColumnFormula>Tableau6[[#This Row],[Stock final]]*Tableau6[[#This Row],[PU]]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leoleomatrice@gmail.com" TargetMode="External"/><Relationship Id="rId13" Type="http://schemas.openxmlformats.org/officeDocument/2006/relationships/hyperlink" Target="mailto:leoleomatrice@gmail.com" TargetMode="External"/><Relationship Id="rId18" Type="http://schemas.openxmlformats.org/officeDocument/2006/relationships/table" Target="../tables/table4.xml"/><Relationship Id="rId3" Type="http://schemas.openxmlformats.org/officeDocument/2006/relationships/hyperlink" Target="mailto:leoleomatrice@gmail.com" TargetMode="External"/><Relationship Id="rId7" Type="http://schemas.openxmlformats.org/officeDocument/2006/relationships/hyperlink" Target="mailto:leoleomatrice@gmail.com" TargetMode="External"/><Relationship Id="rId12" Type="http://schemas.openxmlformats.org/officeDocument/2006/relationships/hyperlink" Target="mailto:leoleomatrice@gmail.com" TargetMode="External"/><Relationship Id="rId17" Type="http://schemas.openxmlformats.org/officeDocument/2006/relationships/drawing" Target="../drawings/drawing5.xml"/><Relationship Id="rId2" Type="http://schemas.openxmlformats.org/officeDocument/2006/relationships/hyperlink" Target="mailto:leoleomatrice@gmail.com" TargetMode="External"/><Relationship Id="rId16" Type="http://schemas.openxmlformats.org/officeDocument/2006/relationships/hyperlink" Target="mailto:leoleomatrice@gmail.com" TargetMode="External"/><Relationship Id="rId1" Type="http://schemas.openxmlformats.org/officeDocument/2006/relationships/hyperlink" Target="mailto:leoleomatrice@gmail.com" TargetMode="External"/><Relationship Id="rId6" Type="http://schemas.openxmlformats.org/officeDocument/2006/relationships/hyperlink" Target="mailto:leoleomatrice@gmail.com" TargetMode="External"/><Relationship Id="rId11" Type="http://schemas.openxmlformats.org/officeDocument/2006/relationships/hyperlink" Target="mailto:leoleomatrice@gmail.com" TargetMode="External"/><Relationship Id="rId5" Type="http://schemas.openxmlformats.org/officeDocument/2006/relationships/hyperlink" Target="mailto:leoleomatrice@gmail.com" TargetMode="External"/><Relationship Id="rId15" Type="http://schemas.openxmlformats.org/officeDocument/2006/relationships/hyperlink" Target="mailto:leoleomatrice@gmail.com" TargetMode="External"/><Relationship Id="rId10" Type="http://schemas.openxmlformats.org/officeDocument/2006/relationships/hyperlink" Target="mailto:leoleomatrice@gmail.com" TargetMode="External"/><Relationship Id="rId4" Type="http://schemas.openxmlformats.org/officeDocument/2006/relationships/hyperlink" Target="mailto:leoleomatrice@gmail.com" TargetMode="External"/><Relationship Id="rId9" Type="http://schemas.openxmlformats.org/officeDocument/2006/relationships/hyperlink" Target="mailto:leoleomatrice@gmail.com" TargetMode="External"/><Relationship Id="rId14" Type="http://schemas.openxmlformats.org/officeDocument/2006/relationships/hyperlink" Target="mailto:leoleomatrice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openxmlformats.org/officeDocument/2006/relationships/table" Target="../tables/table5.xml"/><Relationship Id="rId4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leoleomatrice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D1B6E-B57A-4910-B0B1-9A83AE7497E1}">
  <sheetPr codeName="Feuil1"/>
  <dimension ref="A1"/>
  <sheetViews>
    <sheetView showGridLines="0" workbookViewId="0">
      <selection activeCell="A5" sqref="A5"/>
    </sheetView>
  </sheetViews>
  <sheetFormatPr baseColWidth="10" defaultRowHeight="15" x14ac:dyDescent="0.25"/>
  <sheetData>
    <row r="1" ht="40.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83B26-27EC-4D55-95AA-D2C9FBC3E1FE}">
  <sheetPr codeName="Feuil2"/>
  <dimension ref="B1:W15"/>
  <sheetViews>
    <sheetView showGridLines="0" workbookViewId="0">
      <selection activeCell="F13" sqref="F13"/>
    </sheetView>
  </sheetViews>
  <sheetFormatPr baseColWidth="10" defaultRowHeight="15" x14ac:dyDescent="0.25"/>
  <cols>
    <col min="1" max="1" width="11.42578125" style="23"/>
    <col min="2" max="2" width="11.5703125" style="29" customWidth="1"/>
    <col min="3" max="3" width="11.42578125" style="29"/>
    <col min="4" max="4" width="29.28515625" style="29" customWidth="1"/>
    <col min="5" max="5" width="14" style="29" customWidth="1"/>
    <col min="6" max="6" width="11.42578125" style="29"/>
    <col min="7" max="7" width="14" style="29" customWidth="1"/>
    <col min="8" max="8" width="11.7109375" style="29" customWidth="1"/>
    <col min="9" max="9" width="12.42578125" style="29" customWidth="1"/>
    <col min="10" max="10" width="9.85546875" style="29" customWidth="1"/>
    <col min="11" max="11" width="13.140625" style="29" customWidth="1"/>
    <col min="12" max="12" width="1.42578125" style="29" customWidth="1"/>
    <col min="13" max="13" width="3.42578125" style="29" customWidth="1"/>
    <col min="14" max="15" width="2.5703125" style="29" customWidth="1"/>
    <col min="16" max="16" width="3" style="29" customWidth="1"/>
    <col min="17" max="18" width="3.140625" style="29" customWidth="1"/>
    <col min="19" max="19" width="2.42578125" style="29" customWidth="1"/>
    <col min="20" max="20" width="3.42578125" style="29" customWidth="1"/>
    <col min="21" max="21" width="2.7109375" style="29" customWidth="1"/>
    <col min="22" max="22" width="2.85546875" style="29" customWidth="1"/>
    <col min="23" max="23" width="2.5703125" style="29" customWidth="1"/>
    <col min="24" max="16384" width="11.42578125" style="23"/>
  </cols>
  <sheetData>
    <row r="1" spans="2:23" ht="39.75" customHeight="1" x14ac:dyDescent="0.25"/>
    <row r="4" spans="2:23" x14ac:dyDescent="0.25">
      <c r="M4" s="29">
        <v>1</v>
      </c>
      <c r="N4" s="29">
        <v>2</v>
      </c>
      <c r="O4" s="29">
        <v>3</v>
      </c>
      <c r="P4" s="29">
        <v>4</v>
      </c>
      <c r="Q4" s="29">
        <v>5</v>
      </c>
      <c r="R4" s="29">
        <v>6</v>
      </c>
      <c r="S4" s="29">
        <v>7</v>
      </c>
      <c r="T4" s="29">
        <v>8</v>
      </c>
      <c r="U4" s="29">
        <v>9</v>
      </c>
      <c r="V4" s="29">
        <v>10</v>
      </c>
    </row>
    <row r="5" spans="2:23" ht="23.25" customHeight="1" x14ac:dyDescent="0.25">
      <c r="B5" s="29" t="s">
        <v>109</v>
      </c>
      <c r="C5" s="29" t="s">
        <v>0</v>
      </c>
      <c r="D5" s="29" t="s">
        <v>29</v>
      </c>
      <c r="E5" s="29" t="s">
        <v>30</v>
      </c>
      <c r="F5" s="29" t="s">
        <v>31</v>
      </c>
      <c r="G5" s="29" t="s">
        <v>32</v>
      </c>
      <c r="H5" s="29" t="s">
        <v>33</v>
      </c>
      <c r="I5" s="29" t="s">
        <v>57</v>
      </c>
      <c r="J5" s="29" t="s">
        <v>35</v>
      </c>
      <c r="K5" s="29" t="s">
        <v>104</v>
      </c>
      <c r="L5" s="42" t="s">
        <v>36</v>
      </c>
      <c r="M5" s="29" t="s">
        <v>37</v>
      </c>
      <c r="N5" s="29" t="s">
        <v>38</v>
      </c>
      <c r="O5" s="29" t="s">
        <v>39</v>
      </c>
      <c r="P5" s="29" t="s">
        <v>40</v>
      </c>
      <c r="Q5" s="29" t="s">
        <v>41</v>
      </c>
      <c r="R5" s="29" t="s">
        <v>42</v>
      </c>
      <c r="S5" s="29" t="s">
        <v>43</v>
      </c>
      <c r="T5" s="29" t="s">
        <v>44</v>
      </c>
      <c r="U5" s="29" t="s">
        <v>45</v>
      </c>
      <c r="V5" s="29" t="s">
        <v>46</v>
      </c>
      <c r="W5" s="29" t="s">
        <v>34</v>
      </c>
    </row>
    <row r="6" spans="2:23" x14ac:dyDescent="0.25">
      <c r="B6" s="29" t="s">
        <v>50</v>
      </c>
      <c r="C6" s="29" t="s">
        <v>51</v>
      </c>
      <c r="D6" s="29" t="s">
        <v>51</v>
      </c>
      <c r="E6" s="30">
        <v>5</v>
      </c>
      <c r="F6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164</v>
      </c>
      <c r="H6" s="29">
        <v>10</v>
      </c>
      <c r="I6" s="66"/>
      <c r="J6" s="31" t="str">
        <f>IF(F6&lt;H6,1,"")</f>
        <v/>
      </c>
      <c r="K6" s="32"/>
    </row>
    <row r="7" spans="2:23" x14ac:dyDescent="0.25">
      <c r="B7" s="29" t="s">
        <v>52</v>
      </c>
      <c r="C7" s="29" t="s">
        <v>53</v>
      </c>
      <c r="D7" s="29" t="s">
        <v>53</v>
      </c>
      <c r="E7" s="30">
        <v>5000</v>
      </c>
      <c r="F7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19</v>
      </c>
      <c r="G7" s="29">
        <v>0</v>
      </c>
      <c r="H7" s="29">
        <v>10</v>
      </c>
      <c r="I7" s="66"/>
      <c r="J7" s="31" t="str">
        <f t="shared" ref="J7:J8" si="0">IF(F7&lt;H7,1,"")</f>
        <v/>
      </c>
      <c r="K7" s="32"/>
    </row>
    <row r="8" spans="2:23" x14ac:dyDescent="0.25">
      <c r="B8" s="29" t="s">
        <v>54</v>
      </c>
      <c r="C8" s="29" t="s">
        <v>55</v>
      </c>
      <c r="D8" s="29" t="s">
        <v>56</v>
      </c>
      <c r="E8" s="30">
        <v>10000</v>
      </c>
      <c r="F8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241</v>
      </c>
      <c r="G8" s="29">
        <v>0</v>
      </c>
      <c r="H8" s="29">
        <v>10</v>
      </c>
      <c r="I8" s="66"/>
      <c r="J8" s="31" t="str">
        <f t="shared" si="0"/>
        <v/>
      </c>
      <c r="K8" s="32"/>
    </row>
    <row r="9" spans="2:23" x14ac:dyDescent="0.25">
      <c r="B9" s="29" t="s">
        <v>144</v>
      </c>
      <c r="C9" s="29" t="s">
        <v>143</v>
      </c>
      <c r="D9" s="29" t="s">
        <v>143</v>
      </c>
      <c r="E9" s="30">
        <v>100</v>
      </c>
      <c r="F9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45</v>
      </c>
      <c r="H9" s="29">
        <v>2</v>
      </c>
      <c r="I9" s="66"/>
      <c r="J9" s="31" t="str">
        <f>IF(F9&lt;H9,1,"")</f>
        <v/>
      </c>
      <c r="K9" s="32" t="s">
        <v>115</v>
      </c>
    </row>
    <row r="10" spans="2:23" x14ac:dyDescent="0.25">
      <c r="B10" s="29" t="s">
        <v>145</v>
      </c>
      <c r="C10" s="29" t="s">
        <v>146</v>
      </c>
      <c r="D10" s="29" t="s">
        <v>147</v>
      </c>
      <c r="E10" s="30">
        <v>100</v>
      </c>
      <c r="F10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-14</v>
      </c>
      <c r="H10" s="29">
        <v>10</v>
      </c>
      <c r="I10" s="66"/>
      <c r="J10" s="31">
        <f>IF(F10&lt;H10,1,"")</f>
        <v>1</v>
      </c>
      <c r="K10" s="32" t="s">
        <v>113</v>
      </c>
    </row>
    <row r="11" spans="2:23" x14ac:dyDescent="0.25">
      <c r="B11" s="29" t="s">
        <v>152</v>
      </c>
      <c r="C11" s="29" t="s">
        <v>153</v>
      </c>
      <c r="D11" s="29" t="s">
        <v>153</v>
      </c>
      <c r="E11" s="30">
        <v>15000</v>
      </c>
      <c r="F11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12</v>
      </c>
      <c r="H11" s="29">
        <v>10</v>
      </c>
      <c r="I11" s="66"/>
      <c r="J11" s="31" t="str">
        <f>IF(F11&lt;H11,1,"")</f>
        <v/>
      </c>
      <c r="K11" s="32" t="s">
        <v>118</v>
      </c>
    </row>
    <row r="12" spans="2:23" x14ac:dyDescent="0.25">
      <c r="B12" s="29" t="s">
        <v>168</v>
      </c>
      <c r="C12" s="29" t="s">
        <v>169</v>
      </c>
      <c r="D12" s="29" t="s">
        <v>169</v>
      </c>
      <c r="E12" s="30">
        <v>140</v>
      </c>
      <c r="F12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-5</v>
      </c>
      <c r="H12" s="29">
        <v>1</v>
      </c>
      <c r="I12" s="66"/>
      <c r="J12" s="31"/>
      <c r="K12" s="32" t="s">
        <v>151</v>
      </c>
    </row>
    <row r="13" spans="2:23" x14ac:dyDescent="0.25">
      <c r="B13" s="29" t="s">
        <v>171</v>
      </c>
      <c r="C13" s="29" t="s">
        <v>141</v>
      </c>
      <c r="D13" s="29" t="s">
        <v>141</v>
      </c>
      <c r="E13" s="30">
        <v>150</v>
      </c>
      <c r="H13" s="29">
        <v>15</v>
      </c>
      <c r="I13" s="66"/>
      <c r="J13" s="31"/>
      <c r="K13" s="32" t="s">
        <v>151</v>
      </c>
    </row>
    <row r="14" spans="2:23" x14ac:dyDescent="0.25">
      <c r="B14" s="29" t="s">
        <v>172</v>
      </c>
      <c r="C14" s="29" t="s">
        <v>141</v>
      </c>
      <c r="D14" s="29" t="s">
        <v>141</v>
      </c>
      <c r="E14" s="30">
        <v>350</v>
      </c>
      <c r="F14" s="65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0</v>
      </c>
      <c r="H14" s="29">
        <v>4</v>
      </c>
      <c r="I14" s="66"/>
      <c r="J14" s="31">
        <f>IF(F14&lt;H14,1,"")</f>
        <v>1</v>
      </c>
      <c r="K14" s="32" t="s">
        <v>118</v>
      </c>
    </row>
    <row r="15" spans="2:23" ht="30" x14ac:dyDescent="0.25">
      <c r="B15" s="29" t="s">
        <v>173</v>
      </c>
      <c r="C15" s="29" t="s">
        <v>174</v>
      </c>
      <c r="D15" s="29" t="s">
        <v>175</v>
      </c>
      <c r="E15" s="30">
        <v>200</v>
      </c>
      <c r="F15" s="65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500</v>
      </c>
      <c r="H15" s="29">
        <v>2</v>
      </c>
      <c r="I15" s="66">
        <v>43239.412627314814</v>
      </c>
      <c r="J15" s="31" t="str">
        <f>IF(F15&lt;H15,1,"")</f>
        <v/>
      </c>
      <c r="K15" s="32" t="s">
        <v>115</v>
      </c>
    </row>
  </sheetData>
  <conditionalFormatting sqref="M6:W15">
    <cfRule type="expression" dxfId="6" priority="8">
      <formula>$B6&lt;&gt;""</formula>
    </cfRule>
  </conditionalFormatting>
  <conditionalFormatting sqref="M6:V15">
    <cfRule type="expression" dxfId="5" priority="6">
      <formula>AND($B6&lt;&gt;"",$F6&lt;$H6,$F6&gt;=M$4)</formula>
    </cfRule>
    <cfRule type="expression" dxfId="4" priority="7">
      <formula>AND($B6&lt;&gt;"",$F6&gt;=$H6,$F6&gt;=M$4)</formula>
    </cfRule>
  </conditionalFormatting>
  <conditionalFormatting sqref="W6:W15">
    <cfRule type="expression" dxfId="3" priority="3">
      <formula>AND($B6&lt;&gt;"",$F6&lt;$H6,$F6&gt;$V$4)</formula>
    </cfRule>
    <cfRule type="expression" dxfId="2" priority="5">
      <formula>AND($B6&lt;&gt;"",$F6&gt;=$H6,$F6&gt;$V$4)</formula>
    </cfRule>
  </conditionalFormatting>
  <conditionalFormatting sqref="L6:L15">
    <cfRule type="expression" dxfId="1" priority="2">
      <formula>$B6&lt;&gt;""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btn_add_article">
          <controlPr defaultSize="0" autoLine="0" r:id="rId5">
            <anchor moveWithCells="1">
              <from>
                <xdr:col>0</xdr:col>
                <xdr:colOff>752475</xdr:colOff>
                <xdr:row>2</xdr:row>
                <xdr:rowOff>47625</xdr:rowOff>
              </from>
              <to>
                <xdr:col>2</xdr:col>
                <xdr:colOff>123825</xdr:colOff>
                <xdr:row>3</xdr:row>
                <xdr:rowOff>180975</xdr:rowOff>
              </to>
            </anchor>
          </controlPr>
        </control>
      </mc:Choice>
      <mc:Fallback>
        <control shapeId="3077" r:id="rId4" name="btn_add_article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071161FE-3B94-4DA0-9F22-8DBD7F2CD08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J6:J15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F1F51-C4E2-4F39-9778-027EE1A13613}">
  <sheetPr codeName="Feuil3"/>
  <dimension ref="B1:M58"/>
  <sheetViews>
    <sheetView showGridLines="0" tabSelected="1" workbookViewId="0">
      <selection activeCell="D4" sqref="D4"/>
    </sheetView>
  </sheetViews>
  <sheetFormatPr baseColWidth="10" defaultRowHeight="15" x14ac:dyDescent="0.25"/>
  <cols>
    <col min="1" max="1" width="11.42578125" style="27"/>
    <col min="2" max="2" width="16.42578125" style="27" customWidth="1"/>
    <col min="3" max="3" width="21.28515625" style="27" customWidth="1"/>
    <col min="4" max="4" width="16.5703125" style="27" customWidth="1"/>
    <col min="5" max="5" width="32" style="27" customWidth="1"/>
    <col min="6" max="7" width="16.42578125" style="27" customWidth="1"/>
    <col min="8" max="8" width="19.140625" customWidth="1"/>
    <col min="9" max="9" width="23.140625" customWidth="1"/>
    <col min="10" max="10" width="13.85546875" style="27" customWidth="1"/>
    <col min="11" max="11" width="19.140625" customWidth="1"/>
    <col min="12" max="12" width="16.42578125" style="27" customWidth="1"/>
    <col min="14" max="16384" width="11.42578125" style="27"/>
  </cols>
  <sheetData>
    <row r="1" spans="2:13" ht="39.75" customHeight="1" x14ac:dyDescent="0.25">
      <c r="H1" s="27"/>
      <c r="I1" s="27"/>
      <c r="K1" s="27"/>
      <c r="M1" s="27"/>
    </row>
    <row r="2" spans="2:13" x14ac:dyDescent="0.25">
      <c r="H2" s="27"/>
      <c r="I2" s="27"/>
      <c r="K2" s="27"/>
      <c r="M2" s="27"/>
    </row>
    <row r="3" spans="2:13" x14ac:dyDescent="0.25">
      <c r="H3" s="27"/>
      <c r="I3" s="27"/>
      <c r="K3" s="27"/>
      <c r="M3" s="27"/>
    </row>
    <row r="4" spans="2:13" x14ac:dyDescent="0.25">
      <c r="H4" s="27"/>
      <c r="I4" s="27"/>
      <c r="K4" s="27"/>
      <c r="M4" s="27"/>
    </row>
    <row r="5" spans="2:13" ht="30" x14ac:dyDescent="0.25">
      <c r="B5" s="27" t="s">
        <v>137</v>
      </c>
      <c r="C5" s="27" t="s">
        <v>57</v>
      </c>
      <c r="D5" s="27" t="s">
        <v>138</v>
      </c>
      <c r="E5" s="27" t="s">
        <v>139</v>
      </c>
      <c r="F5" s="27" t="s">
        <v>142</v>
      </c>
      <c r="G5" s="27" t="s">
        <v>140</v>
      </c>
      <c r="H5" s="27" t="s">
        <v>58</v>
      </c>
      <c r="I5" s="27" t="s">
        <v>59</v>
      </c>
      <c r="J5" s="27" t="s">
        <v>155</v>
      </c>
      <c r="K5" s="27"/>
      <c r="M5" s="27"/>
    </row>
    <row r="6" spans="2:13" x14ac:dyDescent="0.25">
      <c r="B6" s="27" t="s">
        <v>63</v>
      </c>
      <c r="C6" s="41">
        <v>43237.484259259261</v>
      </c>
      <c r="D6" s="27" t="s">
        <v>50</v>
      </c>
      <c r="E6" s="27" t="s">
        <v>51</v>
      </c>
      <c r="F6" s="27" t="s">
        <v>89</v>
      </c>
      <c r="G6" s="27">
        <v>14</v>
      </c>
      <c r="H6" s="39">
        <v>5</v>
      </c>
      <c r="I6" s="39">
        <f t="shared" ref="I6:I17" si="0">G6*H6</f>
        <v>70</v>
      </c>
      <c r="J6" s="45">
        <f>IFERROR(IF(commande[[#This Row],[Entrée/Sortie]]="Sortie",Tableau3[[#This Row],[Stock]]-commande[[#This Row],[Quantité]],Tableau3[Stock]+commande[[#This Row],[Quantité]]),"")</f>
        <v>150</v>
      </c>
      <c r="K6" s="27"/>
      <c r="M6" s="27"/>
    </row>
    <row r="7" spans="2:13" x14ac:dyDescent="0.25">
      <c r="B7" s="27" t="s">
        <v>63</v>
      </c>
      <c r="C7" s="41">
        <v>43237.484270833331</v>
      </c>
      <c r="D7" s="27" t="s">
        <v>48</v>
      </c>
      <c r="E7" s="27" t="s">
        <v>141</v>
      </c>
      <c r="F7" s="27" t="s">
        <v>89</v>
      </c>
      <c r="G7" s="27">
        <v>25</v>
      </c>
      <c r="H7" s="39">
        <v>0</v>
      </c>
      <c r="I7" s="39">
        <f t="shared" si="0"/>
        <v>0</v>
      </c>
      <c r="J7" s="45">
        <f>IFERROR(IF(commande[[#This Row],[Entrée/Sortie]]="Sortie",Tableau3[[#This Row],[Stock]]-commande[[#This Row],[Quantité]],Tableau3[Stock]+commande[[#This Row],[Quantité]]),"")</f>
        <v>-6</v>
      </c>
      <c r="K7" s="27"/>
      <c r="M7" s="27"/>
    </row>
    <row r="8" spans="2:13" x14ac:dyDescent="0.25">
      <c r="B8" s="27" t="s">
        <v>64</v>
      </c>
      <c r="C8" s="41">
        <v>43237.493101851855</v>
      </c>
      <c r="D8" s="27" t="s">
        <v>50</v>
      </c>
      <c r="E8" s="27" t="s">
        <v>51</v>
      </c>
      <c r="F8" s="27" t="s">
        <v>89</v>
      </c>
      <c r="G8" s="27">
        <v>10</v>
      </c>
      <c r="H8" s="39">
        <v>5</v>
      </c>
      <c r="I8" s="39">
        <f t="shared" si="0"/>
        <v>50</v>
      </c>
      <c r="J8" s="45">
        <f>IFERROR(IF(commande[[#This Row],[Entrée/Sortie]]="Sortie",Tableau3[[#This Row],[Stock]]-commande[[#This Row],[Quantité]],Tableau3[Stock]+commande[[#This Row],[Quantité]]),"")</f>
        <v>231</v>
      </c>
      <c r="K8" s="27"/>
      <c r="M8" s="27"/>
    </row>
    <row r="9" spans="2:13" x14ac:dyDescent="0.25">
      <c r="B9" s="27" t="s">
        <v>64</v>
      </c>
      <c r="C9" s="41">
        <v>43237.493101851855</v>
      </c>
      <c r="D9" s="27" t="s">
        <v>48</v>
      </c>
      <c r="E9" s="27" t="s">
        <v>84</v>
      </c>
      <c r="F9" s="27" t="s">
        <v>89</v>
      </c>
      <c r="G9" s="27">
        <v>10</v>
      </c>
      <c r="H9" s="39">
        <v>0</v>
      </c>
      <c r="I9" s="39">
        <f t="shared" si="0"/>
        <v>0</v>
      </c>
      <c r="J9" s="45">
        <f>IFERROR(IF(commande[[#This Row],[Entrée/Sortie]]="Sortie",Tableau3[[#This Row],[Stock]]-commande[[#This Row],[Quantité]],Tableau3[Stock]+commande[[#This Row],[Quantité]]),"")</f>
        <v>35</v>
      </c>
      <c r="K9" s="27"/>
      <c r="M9" s="27"/>
    </row>
    <row r="10" spans="2:13" x14ac:dyDescent="0.25">
      <c r="B10" s="27" t="s">
        <v>64</v>
      </c>
      <c r="C10" s="41">
        <v>43237.493101851855</v>
      </c>
      <c r="D10" s="27" t="s">
        <v>47</v>
      </c>
      <c r="E10" s="27" t="s">
        <v>85</v>
      </c>
      <c r="F10" s="27" t="s">
        <v>122</v>
      </c>
      <c r="G10" s="27">
        <v>14</v>
      </c>
      <c r="H10" s="39">
        <v>0</v>
      </c>
      <c r="I10" s="39">
        <f t="shared" si="0"/>
        <v>0</v>
      </c>
      <c r="J10" s="45">
        <f>IFERROR(IF(commande[[#This Row],[Entrée/Sortie]]="Sortie",Tableau3[[#This Row],[Stock]]-commande[[#This Row],[Quantité]],Tableau3[Stock]+commande[[#This Row],[Quantité]]),"")</f>
        <v>0</v>
      </c>
      <c r="K10" s="27"/>
      <c r="M10" s="27"/>
    </row>
    <row r="11" spans="2:13" x14ac:dyDescent="0.25">
      <c r="B11" s="27" t="s">
        <v>65</v>
      </c>
      <c r="C11" s="41">
        <v>43237.494722222225</v>
      </c>
      <c r="D11" s="27" t="s">
        <v>48</v>
      </c>
      <c r="E11" s="27" t="s">
        <v>86</v>
      </c>
      <c r="F11" s="27" t="s">
        <v>89</v>
      </c>
      <c r="G11" s="27">
        <v>17</v>
      </c>
      <c r="H11" s="39">
        <v>0</v>
      </c>
      <c r="I11" s="39">
        <f t="shared" si="0"/>
        <v>0</v>
      </c>
      <c r="J11" s="45">
        <f>IFERROR(IF(commande[[#This Row],[Entrée/Sortie]]="Sortie",Tableau3[[#This Row],[Stock]]-commande[[#This Row],[Quantité]],Tableau3[Stock]+commande[[#This Row],[Quantité]]),"")</f>
        <v>-5</v>
      </c>
      <c r="K11" s="27"/>
      <c r="M11" s="27"/>
    </row>
    <row r="12" spans="2:13" x14ac:dyDescent="0.25">
      <c r="B12" s="27" t="s">
        <v>87</v>
      </c>
      <c r="C12" s="41">
        <v>43237.649918981479</v>
      </c>
      <c r="D12" s="27" t="s">
        <v>50</v>
      </c>
      <c r="E12" s="27" t="s">
        <v>51</v>
      </c>
      <c r="F12" s="27" t="s">
        <v>89</v>
      </c>
      <c r="G12" s="27">
        <v>12</v>
      </c>
      <c r="H12" s="39">
        <v>5</v>
      </c>
      <c r="I12" s="39">
        <f t="shared" si="0"/>
        <v>60</v>
      </c>
      <c r="J12" s="45">
        <f>IFERROR(IF(commande[[#This Row],[Entrée/Sortie]]="Sortie",Tableau3[[#This Row],[Stock]]-commande[[#This Row],[Quantité]],Tableau3[Stock]+commande[[#This Row],[Quantité]]),"")</f>
        <v>-17</v>
      </c>
      <c r="K12" s="27"/>
      <c r="M12" s="27"/>
    </row>
    <row r="13" spans="2:13" x14ac:dyDescent="0.25">
      <c r="B13" s="27" t="s">
        <v>87</v>
      </c>
      <c r="C13" s="41">
        <v>43237.649918981479</v>
      </c>
      <c r="D13" s="27" t="s">
        <v>54</v>
      </c>
      <c r="E13" s="27" t="s">
        <v>55</v>
      </c>
      <c r="F13" s="27" t="s">
        <v>122</v>
      </c>
      <c r="G13" s="27">
        <v>255</v>
      </c>
      <c r="H13" s="39">
        <v>10000</v>
      </c>
      <c r="I13" s="39">
        <f t="shared" si="0"/>
        <v>2550000</v>
      </c>
      <c r="J13" s="45">
        <f>IFERROR(IF(commande[[#This Row],[Entrée/Sortie]]="Sortie",Tableau3[[#This Row],[Stock]]-commande[[#This Row],[Quantité]],Tableau3[Stock]+commande[[#This Row],[Quantité]]),"")</f>
        <v>255</v>
      </c>
      <c r="K13" s="27"/>
      <c r="M13" s="27"/>
    </row>
    <row r="14" spans="2:13" x14ac:dyDescent="0.25">
      <c r="B14" s="27" t="s">
        <v>87</v>
      </c>
      <c r="C14" s="41">
        <v>43237.649918981479</v>
      </c>
      <c r="D14" s="27" t="s">
        <v>48</v>
      </c>
      <c r="F14" s="27" t="s">
        <v>89</v>
      </c>
      <c r="G14" s="27">
        <v>25</v>
      </c>
      <c r="H14" s="39">
        <v>0</v>
      </c>
      <c r="I14" s="39">
        <f t="shared" si="0"/>
        <v>0</v>
      </c>
      <c r="J14" s="45">
        <f>IFERROR(IF(commande[[#This Row],[Entrée/Sortie]]="Sortie",Tableau3[[#This Row],[Stock]]-commande[[#This Row],[Quantité]],Tableau3[Stock]+commande[[#This Row],[Quantité]]),"")</f>
        <v>-25</v>
      </c>
      <c r="K14" s="27"/>
      <c r="M14" s="27"/>
    </row>
    <row r="15" spans="2:13" x14ac:dyDescent="0.25">
      <c r="B15" s="27" t="s">
        <v>88</v>
      </c>
      <c r="C15" s="41">
        <v>43237.654178240744</v>
      </c>
      <c r="D15" s="27" t="s">
        <v>52</v>
      </c>
      <c r="E15" s="27" t="s">
        <v>53</v>
      </c>
      <c r="F15" s="27" t="s">
        <v>89</v>
      </c>
      <c r="G15" s="27">
        <v>25</v>
      </c>
      <c r="H15" s="39">
        <v>5000</v>
      </c>
      <c r="I15" s="39">
        <f t="shared" si="0"/>
        <v>125000</v>
      </c>
      <c r="J15" s="45">
        <f>IFERROR(IF(commande[[#This Row],[Entrée/Sortie]]="Sortie",Tableau3[[#This Row],[Stock]]-commande[[#This Row],[Quantité]],Tableau3[Stock]+commande[[#This Row],[Quantité]]),"")</f>
        <v>475</v>
      </c>
      <c r="K15" s="27"/>
      <c r="M15" s="27"/>
    </row>
    <row r="16" spans="2:13" x14ac:dyDescent="0.25">
      <c r="B16" s="27" t="s">
        <v>88</v>
      </c>
      <c r="C16" s="41">
        <v>43237.654178240744</v>
      </c>
      <c r="D16" s="27" t="s">
        <v>54</v>
      </c>
      <c r="E16" s="27" t="s">
        <v>55</v>
      </c>
      <c r="F16" s="27" t="s">
        <v>89</v>
      </c>
      <c r="G16" s="27">
        <v>2</v>
      </c>
      <c r="H16" s="39">
        <v>10000</v>
      </c>
      <c r="I16" s="39">
        <f t="shared" si="0"/>
        <v>20000</v>
      </c>
      <c r="J16" s="45" t="str">
        <f>IFERROR(IF(commande[[#This Row],[Entrée/Sortie]]="Sortie",Tableau3[[#This Row],[Stock]]-commande[[#This Row],[Quantité]],Tableau3[Stock]+commande[[#This Row],[Quantité]]),"")</f>
        <v/>
      </c>
      <c r="K16" s="27"/>
      <c r="M16" s="27"/>
    </row>
    <row r="17" spans="2:13" x14ac:dyDescent="0.25">
      <c r="B17" s="27" t="s">
        <v>88</v>
      </c>
      <c r="C17" s="41">
        <v>43237.654178240744</v>
      </c>
      <c r="D17" s="27" t="s">
        <v>52</v>
      </c>
      <c r="E17" s="27" t="s">
        <v>53</v>
      </c>
      <c r="F17" s="27" t="s">
        <v>89</v>
      </c>
      <c r="G17" s="27">
        <v>15</v>
      </c>
      <c r="H17" s="39">
        <v>5000</v>
      </c>
      <c r="I17" s="39">
        <f t="shared" si="0"/>
        <v>75000</v>
      </c>
      <c r="J17" s="45" t="str">
        <f>IFERROR(IF(commande[[#This Row],[Entrée/Sortie]]="Sortie",Tableau3[[#This Row],[Stock]]-commande[[#This Row],[Quantité]],Tableau3[Stock]+commande[[#This Row],[Quantité]]),"")</f>
        <v/>
      </c>
      <c r="K17" s="27"/>
      <c r="M17" s="27"/>
    </row>
    <row r="18" spans="2:13" x14ac:dyDescent="0.25">
      <c r="B18" s="27" t="s">
        <v>154</v>
      </c>
      <c r="C18" s="41">
        <v>43238.920914351853</v>
      </c>
      <c r="D18" s="27" t="s">
        <v>54</v>
      </c>
      <c r="E18" s="27" t="s">
        <v>55</v>
      </c>
      <c r="F18" s="27" t="s">
        <v>122</v>
      </c>
      <c r="G18" s="27">
        <v>40</v>
      </c>
      <c r="H18" s="39">
        <v>10000</v>
      </c>
      <c r="I18" s="39">
        <f t="shared" ref="I18:I48" si="1">G18*H18</f>
        <v>400000</v>
      </c>
      <c r="J18" s="45" t="str">
        <f>IFERROR(IF(commande[[#This Row],[Entrée/Sortie]]="Sortie",Tableau3[[#This Row],[Stock]]-commande[[#This Row],[Quantité]],Tableau3[Stock]+commande[[#This Row],[Quantité]]),"")</f>
        <v/>
      </c>
      <c r="K18" s="27"/>
      <c r="L18"/>
      <c r="M18" s="27"/>
    </row>
    <row r="19" spans="2:13" x14ac:dyDescent="0.25">
      <c r="B19" s="27" t="s">
        <v>154</v>
      </c>
      <c r="C19" s="41">
        <v>43238.921643518515</v>
      </c>
      <c r="D19" s="27" t="s">
        <v>50</v>
      </c>
      <c r="E19" s="27" t="s">
        <v>51</v>
      </c>
      <c r="F19" s="27" t="s">
        <v>122</v>
      </c>
      <c r="G19" s="27">
        <v>200</v>
      </c>
      <c r="H19" s="39">
        <v>5</v>
      </c>
      <c r="I19" s="39">
        <f t="shared" si="1"/>
        <v>1000</v>
      </c>
      <c r="J19" s="45" t="str">
        <f>IFERROR(IF(commande[[#This Row],[Entrée/Sortie]]="Sortie",Tableau3[[#This Row],[Stock]]-commande[[#This Row],[Quantité]],Tableau3[Stock]+commande[[#This Row],[Quantité]]),"")</f>
        <v/>
      </c>
      <c r="K19" s="27"/>
      <c r="L19"/>
      <c r="M19" s="27"/>
    </row>
    <row r="20" spans="2:13" x14ac:dyDescent="0.25">
      <c r="B20" s="27" t="s">
        <v>154</v>
      </c>
      <c r="C20" s="41">
        <v>43238.921643518515</v>
      </c>
      <c r="D20" s="27" t="s">
        <v>152</v>
      </c>
      <c r="E20" s="27" t="s">
        <v>153</v>
      </c>
      <c r="F20" s="27" t="s">
        <v>122</v>
      </c>
      <c r="G20" s="27">
        <v>25</v>
      </c>
      <c r="H20" s="39">
        <v>15000</v>
      </c>
      <c r="I20" s="39">
        <f t="shared" si="1"/>
        <v>375000</v>
      </c>
      <c r="J20" s="45" t="str">
        <f>IFERROR(IF(commande[[#This Row],[Entrée/Sortie]]="Sortie",Tableau3[[#This Row],[Stock]]-commande[[#This Row],[Quantité]],Tableau3[Stock]+commande[[#This Row],[Quantité]]),"")</f>
        <v/>
      </c>
      <c r="K20" s="27"/>
      <c r="L20"/>
      <c r="M20" s="27"/>
    </row>
    <row r="21" spans="2:13" x14ac:dyDescent="0.25">
      <c r="B21" s="27" t="s">
        <v>154</v>
      </c>
      <c r="C21" s="41">
        <v>43238.921655092592</v>
      </c>
      <c r="D21" s="27" t="s">
        <v>144</v>
      </c>
      <c r="E21" s="27" t="s">
        <v>143</v>
      </c>
      <c r="F21" s="27" t="s">
        <v>122</v>
      </c>
      <c r="G21" s="27">
        <v>30</v>
      </c>
      <c r="H21" s="39">
        <v>100</v>
      </c>
      <c r="I21" s="39">
        <f t="shared" si="1"/>
        <v>3000</v>
      </c>
      <c r="J21" s="45" t="str">
        <f>IFERROR(IF(commande[[#This Row],[Entrée/Sortie]]="Sortie",Tableau3[[#This Row],[Stock]]-commande[[#This Row],[Quantité]],Tableau3[Stock]+commande[[#This Row],[Quantité]]),"")</f>
        <v/>
      </c>
      <c r="K21" s="27"/>
      <c r="L21"/>
      <c r="M21" s="27"/>
    </row>
    <row r="22" spans="2:13" x14ac:dyDescent="0.25">
      <c r="B22" s="27" t="s">
        <v>154</v>
      </c>
      <c r="C22" s="41">
        <v>43238.960162037038</v>
      </c>
      <c r="D22" s="27" t="s">
        <v>144</v>
      </c>
      <c r="E22" s="27" t="s">
        <v>143</v>
      </c>
      <c r="F22" s="27" t="s">
        <v>122</v>
      </c>
      <c r="G22" s="27">
        <v>14</v>
      </c>
      <c r="H22" s="39">
        <v>100</v>
      </c>
      <c r="I22" s="39">
        <f t="shared" si="1"/>
        <v>1400</v>
      </c>
      <c r="J22" s="45" t="str">
        <f>IFERROR(IF(commande[[#This Row],[Entrée/Sortie]]="Sortie",Tableau3[[#This Row],[Stock]]-commande[[#This Row],[Quantité]],Tableau3[Stock]+commande[[#This Row],[Quantité]]),"")</f>
        <v/>
      </c>
      <c r="K22" s="27"/>
      <c r="L22"/>
      <c r="M22" s="27"/>
    </row>
    <row r="23" spans="2:13" x14ac:dyDescent="0.25">
      <c r="B23" s="27" t="s">
        <v>154</v>
      </c>
      <c r="C23" s="41">
        <v>43238.96199074074</v>
      </c>
      <c r="D23" s="27" t="s">
        <v>54</v>
      </c>
      <c r="E23" s="27" t="s">
        <v>55</v>
      </c>
      <c r="F23" s="27" t="s">
        <v>89</v>
      </c>
      <c r="G23" s="27">
        <v>40</v>
      </c>
      <c r="H23" s="39">
        <v>10000</v>
      </c>
      <c r="I23" s="39">
        <f t="shared" si="1"/>
        <v>400000</v>
      </c>
      <c r="J23" s="45" t="str">
        <f>IFERROR(IF(commande[[#This Row],[Entrée/Sortie]]="Sortie",Tableau3[[#This Row],[Stock]]-commande[[#This Row],[Quantité]],Tableau3[Stock]+commande[[#This Row],[Quantité]]),"")</f>
        <v/>
      </c>
      <c r="K23" s="27"/>
      <c r="L23"/>
      <c r="M23" s="27"/>
    </row>
    <row r="24" spans="2:13" x14ac:dyDescent="0.25">
      <c r="B24" s="27" t="s">
        <v>154</v>
      </c>
      <c r="C24" s="41">
        <v>43238.96199074074</v>
      </c>
      <c r="D24" s="27" t="s">
        <v>152</v>
      </c>
      <c r="E24" s="27" t="s">
        <v>153</v>
      </c>
      <c r="F24" s="27" t="s">
        <v>89</v>
      </c>
      <c r="G24" s="27">
        <v>30</v>
      </c>
      <c r="H24" s="39">
        <v>15000</v>
      </c>
      <c r="I24" s="39">
        <f t="shared" si="1"/>
        <v>450000</v>
      </c>
      <c r="J24" s="45" t="str">
        <f>IFERROR(IF(commande[[#This Row],[Entrée/Sortie]]="Sortie",Tableau3[[#This Row],[Stock]]-commande[[#This Row],[Quantité]],Tableau3[Stock]+commande[[#This Row],[Quantité]]),"")</f>
        <v/>
      </c>
      <c r="K24" s="27"/>
      <c r="L24"/>
      <c r="M24" s="27"/>
    </row>
    <row r="25" spans="2:13" x14ac:dyDescent="0.25">
      <c r="B25" s="27" t="s">
        <v>154</v>
      </c>
      <c r="C25" s="41">
        <v>43238.96199074074</v>
      </c>
      <c r="D25" s="27" t="s">
        <v>144</v>
      </c>
      <c r="E25" s="27" t="s">
        <v>143</v>
      </c>
      <c r="F25" s="27" t="s">
        <v>89</v>
      </c>
      <c r="G25" s="27">
        <v>5</v>
      </c>
      <c r="H25" s="39">
        <v>100</v>
      </c>
      <c r="I25" s="39">
        <f t="shared" si="1"/>
        <v>500</v>
      </c>
      <c r="J25" s="45" t="str">
        <f>IFERROR(IF(commande[[#This Row],[Entrée/Sortie]]="Sortie",Tableau3[[#This Row],[Stock]]-commande[[#This Row],[Quantité]],Tableau3[Stock]+commande[[#This Row],[Quantité]]),"")</f>
        <v/>
      </c>
      <c r="K25" s="27"/>
      <c r="L25"/>
      <c r="M25" s="27"/>
    </row>
    <row r="26" spans="2:13" x14ac:dyDescent="0.25">
      <c r="B26" s="27" t="s">
        <v>156</v>
      </c>
      <c r="C26" s="41">
        <v>43238.995821759258</v>
      </c>
      <c r="D26" s="27" t="s">
        <v>152</v>
      </c>
      <c r="E26" s="27" t="s">
        <v>153</v>
      </c>
      <c r="F26" s="27" t="s">
        <v>122</v>
      </c>
      <c r="G26" s="27">
        <v>15</v>
      </c>
      <c r="H26" s="39">
        <v>15000</v>
      </c>
      <c r="I26" s="39">
        <f t="shared" si="1"/>
        <v>225000</v>
      </c>
      <c r="J26" s="45" t="str">
        <f>IFERROR(IF(commande[[#This Row],[Entrée/Sortie]]="Sortie",Tableau3[[#This Row],[Stock]]-commande[[#This Row],[Quantité]],Tableau3[Stock]+commande[[#This Row],[Quantité]]),"")</f>
        <v/>
      </c>
    </row>
    <row r="27" spans="2:13" x14ac:dyDescent="0.25">
      <c r="B27" s="27" t="s">
        <v>157</v>
      </c>
      <c r="C27" s="41">
        <v>43239.019224537034</v>
      </c>
      <c r="D27" s="27" t="s">
        <v>144</v>
      </c>
      <c r="E27" s="27" t="s">
        <v>143</v>
      </c>
      <c r="F27" s="27" t="s">
        <v>89</v>
      </c>
      <c r="G27" s="27">
        <v>4</v>
      </c>
      <c r="H27" s="39">
        <v>100</v>
      </c>
      <c r="I27" s="39">
        <f t="shared" si="1"/>
        <v>400</v>
      </c>
      <c r="J27" s="45" t="str">
        <f>IFERROR(IF(commande[[#This Row],[Entrée/Sortie]]="Sortie",Tableau3[[#This Row],[Stock]]-commande[[#This Row],[Quantité]],Tableau3[Stock]+commande[[#This Row],[Quantité]]),"")</f>
        <v/>
      </c>
    </row>
    <row r="28" spans="2:13" x14ac:dyDescent="0.25">
      <c r="B28" s="27" t="s">
        <v>157</v>
      </c>
      <c r="C28" s="41">
        <v>43239.019224537034</v>
      </c>
      <c r="D28" s="27" t="s">
        <v>145</v>
      </c>
      <c r="E28" s="27" t="s">
        <v>146</v>
      </c>
      <c r="F28" s="27" t="s">
        <v>89</v>
      </c>
      <c r="G28" s="27">
        <v>7</v>
      </c>
      <c r="H28" s="39">
        <v>100</v>
      </c>
      <c r="I28" s="39">
        <f t="shared" si="1"/>
        <v>700</v>
      </c>
      <c r="J28" s="45" t="str">
        <f>IFERROR(IF(commande[[#This Row],[Entrée/Sortie]]="Sortie",Tableau3[[#This Row],[Stock]]-commande[[#This Row],[Quantité]],Tableau3[Stock]+commande[[#This Row],[Quantité]]),"")</f>
        <v/>
      </c>
    </row>
    <row r="29" spans="2:13" x14ac:dyDescent="0.25">
      <c r="B29" s="27" t="s">
        <v>159</v>
      </c>
      <c r="C29" s="41">
        <v>43239.02306712963</v>
      </c>
      <c r="D29" s="27" t="s">
        <v>50</v>
      </c>
      <c r="E29" s="27" t="s">
        <v>51</v>
      </c>
      <c r="F29" s="27" t="s">
        <v>122</v>
      </c>
      <c r="G29" s="27">
        <v>1</v>
      </c>
      <c r="H29" s="39">
        <v>5</v>
      </c>
      <c r="I29" s="39">
        <f t="shared" si="1"/>
        <v>5</v>
      </c>
      <c r="J29" s="45" t="str">
        <f>IFERROR(IF(commande[[#This Row],[Entrée/Sortie]]="Sortie",Tableau3[[#This Row],[Stock]]-commande[[#This Row],[Quantité]],Tableau3[Stock]+commande[[#This Row],[Quantité]]),"")</f>
        <v/>
      </c>
    </row>
    <row r="30" spans="2:13" x14ac:dyDescent="0.25">
      <c r="B30" s="27" t="s">
        <v>159</v>
      </c>
      <c r="C30" s="41">
        <v>43239.02306712963</v>
      </c>
      <c r="D30" s="27" t="s">
        <v>52</v>
      </c>
      <c r="E30" s="27" t="s">
        <v>53</v>
      </c>
      <c r="F30" s="27" t="s">
        <v>122</v>
      </c>
      <c r="G30" s="27">
        <v>7</v>
      </c>
      <c r="H30" s="39">
        <v>5000</v>
      </c>
      <c r="I30" s="39">
        <f t="shared" si="1"/>
        <v>35000</v>
      </c>
      <c r="J30" s="45" t="str">
        <f>IFERROR(IF(commande[[#This Row],[Entrée/Sortie]]="Sortie",Tableau3[[#This Row],[Stock]]-commande[[#This Row],[Quantité]],Tableau3[Stock]+commande[[#This Row],[Quantité]]),"")</f>
        <v/>
      </c>
    </row>
    <row r="31" spans="2:13" x14ac:dyDescent="0.25">
      <c r="B31" s="27" t="s">
        <v>159</v>
      </c>
      <c r="C31" s="41">
        <v>43239.02306712963</v>
      </c>
      <c r="D31" s="27" t="s">
        <v>145</v>
      </c>
      <c r="E31" s="27" t="s">
        <v>146</v>
      </c>
      <c r="F31" s="27" t="s">
        <v>122</v>
      </c>
      <c r="G31" s="27">
        <v>8</v>
      </c>
      <c r="H31" s="39">
        <v>100</v>
      </c>
      <c r="I31" s="39">
        <f t="shared" si="1"/>
        <v>800</v>
      </c>
      <c r="J31" s="45" t="str">
        <f>IFERROR(IF(commande[[#This Row],[Entrée/Sortie]]="Sortie",Tableau3[[#This Row],[Stock]]-commande[[#This Row],[Quantité]],Tableau3[Stock]+commande[[#This Row],[Quantité]]),"")</f>
        <v/>
      </c>
    </row>
    <row r="32" spans="2:13" x14ac:dyDescent="0.25">
      <c r="B32" s="27" t="s">
        <v>159</v>
      </c>
      <c r="C32" s="41">
        <v>43239.02306712963</v>
      </c>
      <c r="D32" s="27" t="s">
        <v>152</v>
      </c>
      <c r="E32" s="27" t="s">
        <v>153</v>
      </c>
      <c r="F32" s="27" t="s">
        <v>122</v>
      </c>
      <c r="G32" s="27">
        <v>78</v>
      </c>
      <c r="H32" s="39">
        <v>15000</v>
      </c>
      <c r="I32" s="39">
        <f t="shared" si="1"/>
        <v>1170000</v>
      </c>
      <c r="J32" s="45" t="str">
        <f>IFERROR(IF(commande[[#This Row],[Entrée/Sortie]]="Sortie",Tableau3[[#This Row],[Stock]]-commande[[#This Row],[Quantité]],Tableau3[Stock]+commande[[#This Row],[Quantité]]),"")</f>
        <v/>
      </c>
    </row>
    <row r="33" spans="2:10" x14ac:dyDescent="0.25">
      <c r="B33" s="27" t="s">
        <v>159</v>
      </c>
      <c r="C33" s="41">
        <v>43239.02306712963</v>
      </c>
      <c r="D33" s="27" t="s">
        <v>52</v>
      </c>
      <c r="E33" s="27" t="s">
        <v>53</v>
      </c>
      <c r="F33" s="27" t="s">
        <v>122</v>
      </c>
      <c r="G33" s="27">
        <v>45</v>
      </c>
      <c r="H33" s="39">
        <v>5000</v>
      </c>
      <c r="I33" s="39">
        <f t="shared" si="1"/>
        <v>225000</v>
      </c>
      <c r="J33" s="45" t="str">
        <f>IFERROR(IF(commande[[#This Row],[Entrée/Sortie]]="Sortie",Tableau3[[#This Row],[Stock]]-commande[[#This Row],[Quantité]],Tableau3[Stock]+commande[[#This Row],[Quantité]]),"")</f>
        <v/>
      </c>
    </row>
    <row r="34" spans="2:10" x14ac:dyDescent="0.25">
      <c r="B34" s="27" t="s">
        <v>160</v>
      </c>
      <c r="C34" s="41">
        <v>43239.054502314815</v>
      </c>
      <c r="D34" s="27" t="s">
        <v>145</v>
      </c>
      <c r="E34" s="27" t="s">
        <v>146</v>
      </c>
      <c r="F34" s="27" t="s">
        <v>89</v>
      </c>
      <c r="G34" s="27">
        <v>1</v>
      </c>
      <c r="H34" s="39">
        <v>100</v>
      </c>
      <c r="I34" s="39">
        <f t="shared" si="1"/>
        <v>100</v>
      </c>
      <c r="J34" s="45" t="str">
        <f>IFERROR(IF(commande[[#This Row],[Entrée/Sortie]]="Sortie",Tableau3[[#This Row],[Stock]]-commande[[#This Row],[Quantité]],Tableau3[Stock]+commande[[#This Row],[Quantité]]),"")</f>
        <v/>
      </c>
    </row>
    <row r="35" spans="2:10" x14ac:dyDescent="0.25">
      <c r="B35" s="27" t="s">
        <v>161</v>
      </c>
      <c r="C35" s="41">
        <v>43239.056203703702</v>
      </c>
      <c r="D35" s="27" t="s">
        <v>152</v>
      </c>
      <c r="E35" s="27" t="s">
        <v>153</v>
      </c>
      <c r="F35" s="27" t="s">
        <v>89</v>
      </c>
      <c r="G35" s="27">
        <v>120</v>
      </c>
      <c r="H35" s="39">
        <v>15000</v>
      </c>
      <c r="I35" s="39">
        <f t="shared" si="1"/>
        <v>1800000</v>
      </c>
      <c r="J35" s="45" t="str">
        <f>IFERROR(IF(commande[[#This Row],[Entrée/Sortie]]="Sortie",Tableau3[[#This Row],[Stock]]-commande[[#This Row],[Quantité]],Tableau3[Stock]+commande[[#This Row],[Quantité]]),"")</f>
        <v/>
      </c>
    </row>
    <row r="36" spans="2:10" x14ac:dyDescent="0.25">
      <c r="B36" s="27" t="s">
        <v>161</v>
      </c>
      <c r="C36" s="41">
        <v>43239.056203703702</v>
      </c>
      <c r="D36" s="27" t="s">
        <v>145</v>
      </c>
      <c r="E36" s="27" t="s">
        <v>146</v>
      </c>
      <c r="F36" s="27" t="s">
        <v>89</v>
      </c>
      <c r="G36" s="27">
        <v>2</v>
      </c>
      <c r="H36" s="39">
        <v>100</v>
      </c>
      <c r="I36" s="39">
        <f t="shared" si="1"/>
        <v>200</v>
      </c>
      <c r="J36" s="45" t="str">
        <f>IFERROR(IF(commande[[#This Row],[Entrée/Sortie]]="Sortie",Tableau3[[#This Row],[Stock]]-commande[[#This Row],[Quantité]],Tableau3[Stock]+commande[[#This Row],[Quantité]]),"")</f>
        <v/>
      </c>
    </row>
    <row r="37" spans="2:10" x14ac:dyDescent="0.25">
      <c r="B37" s="27" t="s">
        <v>162</v>
      </c>
      <c r="C37" s="41">
        <v>43239.059629629628</v>
      </c>
      <c r="D37" s="27" t="s">
        <v>50</v>
      </c>
      <c r="E37" s="27" t="s">
        <v>51</v>
      </c>
      <c r="F37" s="27" t="s">
        <v>89</v>
      </c>
      <c r="G37" s="27">
        <v>1</v>
      </c>
      <c r="H37" s="39">
        <v>5</v>
      </c>
      <c r="I37" s="39">
        <f t="shared" si="1"/>
        <v>5</v>
      </c>
      <c r="J37" s="45" t="str">
        <f>IFERROR(IF(commande[[#This Row],[Entrée/Sortie]]="Sortie",Tableau3[[#This Row],[Stock]]-commande[[#This Row],[Quantité]],Tableau3[Stock]+commande[[#This Row],[Quantité]]),"")</f>
        <v/>
      </c>
    </row>
    <row r="38" spans="2:10" x14ac:dyDescent="0.25">
      <c r="B38" s="27" t="s">
        <v>162</v>
      </c>
      <c r="C38" s="41">
        <v>43239.059629629628</v>
      </c>
      <c r="D38" s="27" t="s">
        <v>54</v>
      </c>
      <c r="E38" s="27" t="s">
        <v>55</v>
      </c>
      <c r="F38" s="27" t="s">
        <v>89</v>
      </c>
      <c r="G38" s="27">
        <v>2</v>
      </c>
      <c r="H38" s="39">
        <v>10000</v>
      </c>
      <c r="I38" s="39">
        <f t="shared" si="1"/>
        <v>20000</v>
      </c>
      <c r="J38" s="45" t="str">
        <f>IFERROR(IF(commande[[#This Row],[Entrée/Sortie]]="Sortie",Tableau3[[#This Row],[Stock]]-commande[[#This Row],[Quantité]],Tableau3[Stock]+commande[[#This Row],[Quantité]]),"")</f>
        <v/>
      </c>
    </row>
    <row r="39" spans="2:10" x14ac:dyDescent="0.25">
      <c r="B39" s="27" t="s">
        <v>162</v>
      </c>
      <c r="C39" s="41">
        <v>43239.059629629628</v>
      </c>
      <c r="D39" s="27" t="s">
        <v>54</v>
      </c>
      <c r="E39" s="27" t="s">
        <v>55</v>
      </c>
      <c r="F39" s="27" t="s">
        <v>89</v>
      </c>
      <c r="G39" s="27">
        <v>3</v>
      </c>
      <c r="H39" s="39">
        <v>10000</v>
      </c>
      <c r="I39" s="39">
        <f t="shared" si="1"/>
        <v>30000</v>
      </c>
      <c r="J39" s="45" t="str">
        <f>IFERROR(IF(commande[[#This Row],[Entrée/Sortie]]="Sortie",Tableau3[[#This Row],[Stock]]-commande[[#This Row],[Quantité]],Tableau3[Stock]+commande[[#This Row],[Quantité]]),"")</f>
        <v/>
      </c>
    </row>
    <row r="40" spans="2:10" x14ac:dyDescent="0.25">
      <c r="B40" s="27" t="s">
        <v>162</v>
      </c>
      <c r="C40" s="41">
        <v>43239.059629629628</v>
      </c>
      <c r="D40" s="27" t="s">
        <v>144</v>
      </c>
      <c r="E40" s="27" t="s">
        <v>143</v>
      </c>
      <c r="F40" s="27" t="s">
        <v>89</v>
      </c>
      <c r="G40" s="27">
        <v>4</v>
      </c>
      <c r="H40" s="39">
        <v>100</v>
      </c>
      <c r="I40" s="39">
        <f t="shared" si="1"/>
        <v>400</v>
      </c>
      <c r="J40" s="45" t="str">
        <f>IFERROR(IF(commande[[#This Row],[Entrée/Sortie]]="Sortie",Tableau3[[#This Row],[Stock]]-commande[[#This Row],[Quantité]],Tableau3[Stock]+commande[[#This Row],[Quantité]]),"")</f>
        <v/>
      </c>
    </row>
    <row r="41" spans="2:10" x14ac:dyDescent="0.25">
      <c r="B41" s="27" t="s">
        <v>162</v>
      </c>
      <c r="C41" s="41">
        <v>43239.059629629628</v>
      </c>
      <c r="D41" s="27" t="s">
        <v>145</v>
      </c>
      <c r="E41" s="27" t="s">
        <v>146</v>
      </c>
      <c r="F41" s="27" t="s">
        <v>89</v>
      </c>
      <c r="G41" s="27">
        <v>5</v>
      </c>
      <c r="H41" s="39">
        <v>100</v>
      </c>
      <c r="I41" s="39">
        <f t="shared" si="1"/>
        <v>500</v>
      </c>
      <c r="J41" s="45" t="str">
        <f>IFERROR(IF(commande[[#This Row],[Entrée/Sortie]]="Sortie",Tableau3[[#This Row],[Stock]]-commande[[#This Row],[Quantité]],Tableau3[Stock]+commande[[#This Row],[Quantité]]),"")</f>
        <v/>
      </c>
    </row>
    <row r="42" spans="2:10" x14ac:dyDescent="0.25">
      <c r="B42" s="27" t="s">
        <v>162</v>
      </c>
      <c r="C42" s="41">
        <v>43239.059629629628</v>
      </c>
      <c r="D42" s="27" t="s">
        <v>152</v>
      </c>
      <c r="E42" s="27" t="s">
        <v>153</v>
      </c>
      <c r="F42" s="27" t="s">
        <v>89</v>
      </c>
      <c r="G42" s="27">
        <v>6</v>
      </c>
      <c r="H42" s="39">
        <v>15000</v>
      </c>
      <c r="I42" s="39">
        <f t="shared" si="1"/>
        <v>90000</v>
      </c>
      <c r="J42" s="45" t="str">
        <f>IFERROR(IF(commande[[#This Row],[Entrée/Sortie]]="Sortie",Tableau3[[#This Row],[Stock]]-commande[[#This Row],[Quantité]],Tableau3[Stock]+commande[[#This Row],[Quantité]]),"")</f>
        <v/>
      </c>
    </row>
    <row r="43" spans="2:10" x14ac:dyDescent="0.25">
      <c r="B43" s="27" t="s">
        <v>163</v>
      </c>
      <c r="C43" s="41">
        <v>43239.062071759261</v>
      </c>
      <c r="D43" s="27" t="s">
        <v>52</v>
      </c>
      <c r="E43" s="27" t="s">
        <v>53</v>
      </c>
      <c r="F43" s="27" t="s">
        <v>122</v>
      </c>
      <c r="G43" s="27">
        <v>8</v>
      </c>
      <c r="H43" s="39">
        <v>5000</v>
      </c>
      <c r="I43" s="39">
        <f t="shared" si="1"/>
        <v>40000</v>
      </c>
      <c r="J43" s="45" t="str">
        <f>IFERROR(IF(commande[[#This Row],[Entrée/Sortie]]="Sortie",Tableau3[[#This Row],[Stock]]-commande[[#This Row],[Quantité]],Tableau3[Stock]+commande[[#This Row],[Quantité]]),"")</f>
        <v/>
      </c>
    </row>
    <row r="44" spans="2:10" x14ac:dyDescent="0.25">
      <c r="B44" s="27" t="s">
        <v>164</v>
      </c>
      <c r="C44" s="41">
        <v>43239.068518518521</v>
      </c>
      <c r="D44" s="27" t="s">
        <v>144</v>
      </c>
      <c r="E44" s="27" t="s">
        <v>143</v>
      </c>
      <c r="F44" s="27" t="s">
        <v>122</v>
      </c>
      <c r="G44" s="27">
        <v>14</v>
      </c>
      <c r="H44" s="39">
        <v>100</v>
      </c>
      <c r="I44" s="39">
        <f t="shared" si="1"/>
        <v>1400</v>
      </c>
      <c r="J44" s="45" t="str">
        <f>IFERROR(IF(commande[[#This Row],[Entrée/Sortie]]="Sortie",Tableau3[[#This Row],[Stock]]-commande[[#This Row],[Quantité]],Tableau3[Stock]+commande[[#This Row],[Quantité]]),"")</f>
        <v/>
      </c>
    </row>
    <row r="45" spans="2:10" x14ac:dyDescent="0.25">
      <c r="B45" s="27" t="s">
        <v>164</v>
      </c>
      <c r="C45" s="41">
        <v>43239.068518518521</v>
      </c>
      <c r="D45" s="27" t="s">
        <v>145</v>
      </c>
      <c r="E45" s="27" t="s">
        <v>146</v>
      </c>
      <c r="F45" s="27" t="s">
        <v>122</v>
      </c>
      <c r="G45" s="27">
        <v>8</v>
      </c>
      <c r="H45" s="39">
        <v>100</v>
      </c>
      <c r="I45" s="39">
        <f t="shared" si="1"/>
        <v>800</v>
      </c>
      <c r="J45" s="45" t="str">
        <f>IFERROR(IF(commande[[#This Row],[Entrée/Sortie]]="Sortie",Tableau3[[#This Row],[Stock]]-commande[[#This Row],[Quantité]],Tableau3[Stock]+commande[[#This Row],[Quantité]]),"")</f>
        <v/>
      </c>
    </row>
    <row r="46" spans="2:10" x14ac:dyDescent="0.25">
      <c r="B46" s="27" t="s">
        <v>165</v>
      </c>
      <c r="C46" s="41">
        <v>43239.069826388892</v>
      </c>
      <c r="D46" s="27" t="s">
        <v>52</v>
      </c>
      <c r="E46" s="27" t="s">
        <v>53</v>
      </c>
      <c r="F46" s="27" t="s">
        <v>89</v>
      </c>
      <c r="G46" s="27">
        <v>1</v>
      </c>
      <c r="H46" s="39">
        <v>5000</v>
      </c>
      <c r="I46" s="39">
        <f t="shared" si="1"/>
        <v>5000</v>
      </c>
      <c r="J46" s="45" t="str">
        <f>IFERROR(IF(commande[[#This Row],[Entrée/Sortie]]="Sortie",Tableau3[[#This Row],[Stock]]-commande[[#This Row],[Quantité]],Tableau3[Stock]+commande[[#This Row],[Quantité]]),"")</f>
        <v/>
      </c>
    </row>
    <row r="47" spans="2:10" x14ac:dyDescent="0.25">
      <c r="B47" s="27" t="s">
        <v>165</v>
      </c>
      <c r="C47" s="41">
        <v>43239.069826388892</v>
      </c>
      <c r="D47" s="27" t="s">
        <v>54</v>
      </c>
      <c r="E47" s="27" t="s">
        <v>55</v>
      </c>
      <c r="F47" s="27" t="s">
        <v>89</v>
      </c>
      <c r="G47" s="27">
        <v>7</v>
      </c>
      <c r="H47" s="39">
        <v>10000</v>
      </c>
      <c r="I47" s="39">
        <f t="shared" si="1"/>
        <v>70000</v>
      </c>
      <c r="J47" s="45" t="str">
        <f>IFERROR(IF(commande[[#This Row],[Entrée/Sortie]]="Sortie",Tableau3[[#This Row],[Stock]]-commande[[#This Row],[Quantité]],Tableau3[Stock]+commande[[#This Row],[Quantité]]),"")</f>
        <v/>
      </c>
    </row>
    <row r="48" spans="2:10" x14ac:dyDescent="0.25">
      <c r="B48" s="27" t="s">
        <v>166</v>
      </c>
      <c r="C48" s="41">
        <v>43239.072812500002</v>
      </c>
      <c r="D48" s="27" t="s">
        <v>152</v>
      </c>
      <c r="E48" s="27" t="s">
        <v>153</v>
      </c>
      <c r="F48" s="27" t="s">
        <v>122</v>
      </c>
      <c r="G48" s="27">
        <v>50</v>
      </c>
      <c r="H48" s="39">
        <v>15000</v>
      </c>
      <c r="I48" s="39">
        <f t="shared" si="1"/>
        <v>750000</v>
      </c>
      <c r="J48" s="45" t="str">
        <f>IFERROR(IF(commande[[#This Row],[Entrée/Sortie]]="Sortie",Tableau3[[#This Row],[Stock]]-commande[[#This Row],[Quantité]],Tableau3[Stock]+commande[[#This Row],[Quantité]]),"")</f>
        <v/>
      </c>
    </row>
    <row r="49" spans="2:10" x14ac:dyDescent="0.25">
      <c r="B49" s="27" t="s">
        <v>167</v>
      </c>
      <c r="C49" s="41">
        <v>43239.327870370369</v>
      </c>
      <c r="D49" s="27" t="s">
        <v>145</v>
      </c>
      <c r="E49" s="27" t="s">
        <v>146</v>
      </c>
      <c r="F49" s="27" t="s">
        <v>89</v>
      </c>
      <c r="G49" s="27">
        <v>15</v>
      </c>
      <c r="H49" s="39">
        <v>100</v>
      </c>
      <c r="I49" s="39">
        <f>G49*H49</f>
        <v>1500</v>
      </c>
      <c r="J49" s="45" t="str">
        <f>IFERROR(IF(commande[[#This Row],[Entrée/Sortie]]="Sortie",Tableau3[[#This Row],[Stock]]-commande[[#This Row],[Quantité]],Tableau3[Stock]+commande[[#This Row],[Quantité]]),"")</f>
        <v/>
      </c>
    </row>
    <row r="50" spans="2:10" x14ac:dyDescent="0.25">
      <c r="B50" s="27" t="s">
        <v>170</v>
      </c>
      <c r="C50" s="51">
        <v>43239.332418981481</v>
      </c>
      <c r="D50" s="27" t="s">
        <v>168</v>
      </c>
      <c r="E50" s="27" t="s">
        <v>169</v>
      </c>
      <c r="F50" s="27" t="s">
        <v>89</v>
      </c>
      <c r="G50" s="27">
        <v>5</v>
      </c>
      <c r="H50" s="39">
        <v>140</v>
      </c>
      <c r="I50" s="39">
        <f>G50*H50</f>
        <v>700</v>
      </c>
      <c r="J50" s="45" t="str">
        <f>IFERROR(IF(commande[[#This Row],[Entrée/Sortie]]="Sortie",Tableau3[[#This Row],[Stock]]-commande[[#This Row],[Quantité]],Tableau3[Stock]+commande[[#This Row],[Quantité]]),"")</f>
        <v/>
      </c>
    </row>
    <row r="51" spans="2:10" x14ac:dyDescent="0.25">
      <c r="B51" s="27" t="s">
        <v>176</v>
      </c>
      <c r="C51" s="51">
        <v>43239.414583333331</v>
      </c>
      <c r="D51" s="27" t="s">
        <v>173</v>
      </c>
      <c r="E51" s="27" t="s">
        <v>174</v>
      </c>
      <c r="F51" s="27" t="s">
        <v>122</v>
      </c>
      <c r="G51" s="27">
        <v>500</v>
      </c>
      <c r="H51" s="39">
        <v>200</v>
      </c>
      <c r="I51" s="39">
        <f>G51*H51</f>
        <v>100000</v>
      </c>
      <c r="J51" s="45" t="str">
        <f>IFERROR(IF(commande[[#This Row],[Entrée/Sortie]]="Sortie",Tableau3[[#This Row],[Stock]]-commande[[#This Row],[Quantité]],Tableau3[Stock]+commande[[#This Row],[Quantité]]),"")</f>
        <v/>
      </c>
    </row>
    <row r="52" spans="2:10" x14ac:dyDescent="0.25">
      <c r="B52" s="27" t="s">
        <v>176</v>
      </c>
      <c r="C52" s="51">
        <v>43239.414583333331</v>
      </c>
      <c r="D52" s="27" t="s">
        <v>171</v>
      </c>
      <c r="E52" s="27" t="s">
        <v>141</v>
      </c>
      <c r="F52" s="27" t="s">
        <v>122</v>
      </c>
      <c r="G52" s="27">
        <v>100</v>
      </c>
      <c r="H52" s="39">
        <v>150</v>
      </c>
      <c r="I52" s="39">
        <f>G52*H52</f>
        <v>15000</v>
      </c>
      <c r="J52" s="45" t="str">
        <f>IFERROR(IF(commande[[#This Row],[Entrée/Sortie]]="Sortie",Tableau3[[#This Row],[Stock]]-commande[[#This Row],[Quantité]],Tableau3[Stock]+commande[[#This Row],[Quantité]]),"")</f>
        <v/>
      </c>
    </row>
    <row r="53" spans="2:10" x14ac:dyDescent="0.25">
      <c r="I53" s="27"/>
    </row>
    <row r="54" spans="2:10" x14ac:dyDescent="0.25">
      <c r="I54" s="27"/>
    </row>
    <row r="55" spans="2:10" x14ac:dyDescent="0.25">
      <c r="I55" s="27"/>
    </row>
    <row r="56" spans="2:10" x14ac:dyDescent="0.25">
      <c r="I56" s="27"/>
    </row>
    <row r="57" spans="2:10" x14ac:dyDescent="0.25">
      <c r="I57" s="27"/>
    </row>
    <row r="58" spans="2:10" x14ac:dyDescent="0.25">
      <c r="I58" s="27"/>
    </row>
  </sheetData>
  <dataValidations count="1">
    <dataValidation type="list" allowBlank="1" showInputMessage="1" showErrorMessage="1" sqref="F6:F52" xr:uid="{08541D55-4A60-4497-9C59-F9F424713729}">
      <formula1>"Entrée,Sortie"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752475</xdr:colOff>
                <xdr:row>1</xdr:row>
                <xdr:rowOff>142875</xdr:rowOff>
              </from>
              <to>
                <xdr:col>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C339B-6CB9-4DEE-B4B8-9DB45A43C5BD}">
  <sheetPr codeName="Feuil4">
    <pageSetUpPr fitToPage="1"/>
  </sheetPr>
  <dimension ref="B1:G54"/>
  <sheetViews>
    <sheetView showGridLines="0" workbookViewId="0">
      <selection activeCell="E82" sqref="E82"/>
    </sheetView>
  </sheetViews>
  <sheetFormatPr baseColWidth="10" defaultRowHeight="15" x14ac:dyDescent="0.25"/>
  <cols>
    <col min="2" max="2" width="18" customWidth="1"/>
    <col min="3" max="3" width="19.42578125" customWidth="1"/>
    <col min="4" max="4" width="25.28515625" style="23" customWidth="1"/>
    <col min="5" max="5" width="11.28515625" customWidth="1"/>
    <col min="6" max="6" width="15.85546875" customWidth="1"/>
    <col min="7" max="7" width="22" customWidth="1"/>
  </cols>
  <sheetData>
    <row r="1" spans="2:7" ht="40.5" customHeight="1" x14ac:dyDescent="0.25"/>
    <row r="7" spans="2:7" ht="15" customHeight="1" x14ac:dyDescent="0.25">
      <c r="B7" s="54" t="s">
        <v>66</v>
      </c>
      <c r="C7" s="55"/>
      <c r="E7" s="60" t="s">
        <v>158</v>
      </c>
      <c r="F7" s="60"/>
      <c r="G7" s="60"/>
    </row>
    <row r="8" spans="2:7" ht="15" customHeight="1" x14ac:dyDescent="0.25">
      <c r="B8" s="55"/>
      <c r="C8" s="55"/>
      <c r="E8" s="60"/>
      <c r="F8" s="60"/>
      <c r="G8" s="60"/>
    </row>
    <row r="10" spans="2:7" ht="15.75" x14ac:dyDescent="0.25">
      <c r="B10" s="22" t="s">
        <v>68</v>
      </c>
      <c r="C10" s="21" t="s">
        <v>176</v>
      </c>
      <c r="E10" s="12" t="s">
        <v>69</v>
      </c>
      <c r="F10" s="18"/>
      <c r="G10" s="19">
        <f t="array" ref="G10">INDEX(commande[Date],MATCH(Facture!C10,commande[Reference commande],0))</f>
        <v>43239.414583333331</v>
      </c>
    </row>
    <row r="11" spans="2:7" x14ac:dyDescent="0.25">
      <c r="B11" s="56" t="s">
        <v>70</v>
      </c>
      <c r="C11" s="57"/>
    </row>
    <row r="12" spans="2:7" x14ac:dyDescent="0.25">
      <c r="B12" s="58"/>
      <c r="C12" s="58"/>
    </row>
    <row r="15" spans="2:7" ht="15.75" thickBot="1" x14ac:dyDescent="0.3">
      <c r="B15" s="59" t="s">
        <v>71</v>
      </c>
      <c r="C15" s="59"/>
      <c r="E15" s="61" t="str">
        <f>IF(E16="Entrée","Fournisseur","Client")</f>
        <v>Fournisseur</v>
      </c>
      <c r="F15" s="61"/>
      <c r="G15" s="61"/>
    </row>
    <row r="16" spans="2:7" x14ac:dyDescent="0.25">
      <c r="B16" t="str">
        <f>Config!C27</f>
        <v>ETECH KEYS SARL</v>
      </c>
      <c r="C16" s="13"/>
      <c r="E16" t="str">
        <f t="array" ref="E16">IFERROR(INDEX(commande[Entrée/Sortie],MATCH(Facture!C10,commande[Reference commande],0)),"")</f>
        <v>Entrée</v>
      </c>
    </row>
    <row r="17" spans="2:7" x14ac:dyDescent="0.25">
      <c r="B17" t="str">
        <f>Config!C28</f>
        <v>Douala-makepe</v>
      </c>
      <c r="E17" t="str">
        <f t="array" ref="E17">IFERROR(INDEX(fornisseur[Adress],MATCH($E$16,fornisseur[Nom],0)),"")</f>
        <v/>
      </c>
    </row>
    <row r="18" spans="2:7" x14ac:dyDescent="0.25">
      <c r="B18" s="17">
        <f>Config!C31</f>
        <v>697506370</v>
      </c>
      <c r="E18" s="17" t="str">
        <f t="array" ref="E18">IFERROR(INDEX(fornisseur[Téléphone],MATCH($E$16,fornisseur[Nom],0)),"")</f>
        <v/>
      </c>
    </row>
    <row r="19" spans="2:7" x14ac:dyDescent="0.25">
      <c r="B19" t="str">
        <f>Config!C32</f>
        <v>leoleomatrice@gmail.com</v>
      </c>
      <c r="E19" t="str">
        <f t="array" ref="E19">IFERROR(INDEX(fornisseur[Mail],MATCH($E$16,fornisseur[Nom],0)),"")</f>
        <v/>
      </c>
    </row>
    <row r="21" spans="2:7" x14ac:dyDescent="0.25">
      <c r="B21" t="s">
        <v>72</v>
      </c>
      <c r="C21" t="s">
        <v>28</v>
      </c>
      <c r="D21" s="23" t="s">
        <v>0</v>
      </c>
      <c r="E21" t="s">
        <v>140</v>
      </c>
      <c r="F21" t="s">
        <v>30</v>
      </c>
      <c r="G21" t="s">
        <v>73</v>
      </c>
    </row>
    <row r="22" spans="2:7" x14ac:dyDescent="0.25">
      <c r="B22" s="5">
        <f>IF(C22 &lt;&gt; "", ROW()-21,"")</f>
        <v>1</v>
      </c>
      <c r="C22" s="5" t="str">
        <f t="array" ref="C22">IFERROR(INDEX(commande[Référence produit],SMALL(IF(commande[Reference commande]=Facture!$C$10, ROW(commande[Référence produit])-5),ROW()-21)),"")</f>
        <v>PRO-00011</v>
      </c>
      <c r="D22" s="24" t="str">
        <f t="array" ref="D22">IFERROR(INDEX(commande[Nom du produit],SMALL(IF(commande[Reference commande]=Facture!$C$10, ROW(commande[Référence produit])-5),ROW()-21)),"")</f>
        <v>nido</v>
      </c>
      <c r="E22" s="5">
        <f t="array" ref="E22">IFERROR(INDEX(commande[Quantité],SMALL(IF(commande[Reference commande]=Facture!$C$10, ROW(commande[Référence produit])-5),ROW()-21)),"")</f>
        <v>500</v>
      </c>
      <c r="F22" s="20">
        <f t="array" ref="F22">IFERROR(INDEX(commande[prix],SMALL(IF(commande[Reference commande]=Facture!$C$10, ROW(commande[Référence produit])-5),ROW()-21)),"")</f>
        <v>200</v>
      </c>
      <c r="G22" s="20">
        <f t="array" ref="G22">IFERROR(E22*F22,"")</f>
        <v>100000</v>
      </c>
    </row>
    <row r="23" spans="2:7" x14ac:dyDescent="0.25">
      <c r="B23" s="14">
        <f t="shared" ref="B23:B45" si="0">IF(C23 &lt;&gt; "", ROW()-21,"")</f>
        <v>2</v>
      </c>
      <c r="C23" s="50" t="str">
        <f t="array" ref="C23">IFERROR(INDEX(commande[Référence produit],SMALL(IF(commande[Reference commande]=Facture!$C$10, ROW(commande[Référence produit])-5),ROW()-21)),"")</f>
        <v>PRO-00009</v>
      </c>
      <c r="D23" s="25" t="str">
        <f t="array" ref="D23">IFERROR(INDEX(commande[Nom du produit],SMALL(IF(commande[Reference commande]=Facture!$C$10, ROW(commande[Référence produit])-5),ROW()-21)),"")</f>
        <v>sardine</v>
      </c>
      <c r="E23" s="14">
        <f t="array" ref="E23">IFERROR(INDEX(commande[Quantité],SMALL(IF(commande[Reference commande]=Facture!$C$10, ROW(commande[Référence produit])-5),ROW()-21)),"")</f>
        <v>100</v>
      </c>
      <c r="F23" s="46">
        <f t="array" ref="F23">IFERROR(INDEX(commande[prix],SMALL(IF(commande[Reference commande]=Facture!$C$10, ROW(commande[Référence produit])-5),ROW()-21)),"")</f>
        <v>150</v>
      </c>
      <c r="G23" s="46">
        <f t="array" ref="G23">IFERROR(E23*F23,"")</f>
        <v>15000</v>
      </c>
    </row>
    <row r="24" spans="2:7" x14ac:dyDescent="0.25">
      <c r="B24" s="14" t="str">
        <f t="shared" si="0"/>
        <v/>
      </c>
      <c r="C24" s="14" t="str">
        <f t="array" ref="C24">IFERROR(INDEX(commande[Référence produit],SMALL(IF(commande[Reference commande]=Facture!$C$10, ROW(commande[Référence produit])-5),ROW()-21)),"")</f>
        <v/>
      </c>
      <c r="D24" s="25" t="str">
        <f t="array" ref="D24">IFERROR(INDEX(commande[Nom du produit],SMALL(IF(commande[Reference commande]=Facture!$C$10, ROW(commande[Référence produit])-5),ROW()-21)),"")</f>
        <v/>
      </c>
      <c r="E24" s="14" t="str">
        <f t="array" ref="E24">IFERROR(INDEX(commande[Quantité],SMALL(IF(commande[Reference commande]=Facture!$C$10, ROW(commande[Référence produit])-5),ROW()-21)),"")</f>
        <v/>
      </c>
      <c r="F24" s="46" t="str">
        <f t="array" ref="F24">IFERROR(INDEX(commande[prix],SMALL(IF(commande[Reference commande]=Facture!$C$10, ROW(commande[Référence produit])-5),ROW()-21)),"")</f>
        <v/>
      </c>
      <c r="G24" s="46" t="str">
        <f t="array" ref="G24">IFERROR(E24*F24,"")</f>
        <v/>
      </c>
    </row>
    <row r="25" spans="2:7" x14ac:dyDescent="0.25">
      <c r="B25" s="14" t="str">
        <f t="shared" si="0"/>
        <v/>
      </c>
      <c r="C25" s="14" t="str">
        <f t="array" ref="C25">IFERROR(INDEX(commande[Référence produit],SMALL(IF(commande[Reference commande]=Facture!$C$10, ROW(commande[Référence produit])-5),ROW()-21)),"")</f>
        <v/>
      </c>
      <c r="D25" s="25" t="str">
        <f t="array" ref="D25">IFERROR(INDEX(commande[Nom du produit],SMALL(IF(commande[Reference commande]=Facture!$C$10, ROW(commande[Référence produit])-5),ROW()-21)),"")</f>
        <v/>
      </c>
      <c r="E25" s="14" t="str">
        <f t="array" ref="E25">IFERROR(INDEX(commande[Quantité],SMALL(IF(commande[Reference commande]=Facture!$C$10, ROW(commande[Référence produit])-5),ROW()-21)),"")</f>
        <v/>
      </c>
      <c r="F25" s="46" t="str">
        <f t="array" ref="F25">IFERROR(INDEX(commande[prix],SMALL(IF(commande[Reference commande]=Facture!$C$10, ROW(commande[Référence produit])-5),ROW()-21)),"")</f>
        <v/>
      </c>
      <c r="G25" s="46" t="str">
        <f t="array" ref="G25">IFERROR(E25*F25,"")</f>
        <v/>
      </c>
    </row>
    <row r="26" spans="2:7" x14ac:dyDescent="0.25">
      <c r="B26" s="14" t="str">
        <f t="shared" si="0"/>
        <v/>
      </c>
      <c r="C26" s="14" t="str">
        <f t="array" ref="C26">IFERROR(INDEX(commande[Référence produit],SMALL(IF(commande[Reference commande]=Facture!$C$10, ROW(commande[Référence produit])-5),ROW()-21)),"")</f>
        <v/>
      </c>
      <c r="D26" s="25" t="str">
        <f t="array" ref="D26">IFERROR(INDEX(commande[Nom du produit],SMALL(IF(commande[Reference commande]=Facture!$C$10, ROW(commande[Référence produit])-5),ROW()-21)),"")</f>
        <v/>
      </c>
      <c r="E26" s="14" t="str">
        <f t="array" ref="E26">IFERROR(INDEX(commande[Quantité],SMALL(IF(commande[Reference commande]=Facture!$C$10, ROW(commande[Référence produit])-5),ROW()-21)),"")</f>
        <v/>
      </c>
      <c r="F26" s="46" t="str">
        <f t="array" ref="F26">IFERROR(INDEX(commande[prix],SMALL(IF(commande[Reference commande]=Facture!$C$10, ROW(commande[Référence produit])-5),ROW()-21)),"")</f>
        <v/>
      </c>
      <c r="G26" s="46" t="str">
        <f t="array" ref="G26">IFERROR(E26*F26,"")</f>
        <v/>
      </c>
    </row>
    <row r="27" spans="2:7" x14ac:dyDescent="0.25">
      <c r="B27" s="14" t="str">
        <f t="shared" si="0"/>
        <v/>
      </c>
      <c r="C27" s="14" t="str">
        <f t="array" ref="C27">IFERROR(INDEX(commande[Référence produit],SMALL(IF(commande[Reference commande]=Facture!$C$10, ROW(commande[Référence produit])-5),ROW()-21)),"")</f>
        <v/>
      </c>
      <c r="D27" s="25" t="str">
        <f t="array" ref="D27">IFERROR(INDEX(commande[Nom du produit],SMALL(IF(commande[Reference commande]=Facture!$C$10, ROW(commande[Référence produit])-5),ROW()-21)),"")</f>
        <v/>
      </c>
      <c r="E27" s="14" t="str">
        <f t="array" ref="E27">IFERROR(INDEX(commande[Quantité],SMALL(IF(commande[Reference commande]=Facture!$C$10, ROW(commande[Référence produit])-5),ROW()-21)),"")</f>
        <v/>
      </c>
      <c r="F27" s="46" t="str">
        <f t="array" ref="F27">IFERROR(INDEX(commande[prix],SMALL(IF(commande[Reference commande]=Facture!$C$10, ROW(commande[Référence produit])-5),ROW()-21)),"")</f>
        <v/>
      </c>
      <c r="G27" s="46" t="str">
        <f t="array" ref="G27">IFERROR(E27*F27,"")</f>
        <v/>
      </c>
    </row>
    <row r="28" spans="2:7" x14ac:dyDescent="0.25">
      <c r="B28" s="14" t="str">
        <f t="shared" si="0"/>
        <v/>
      </c>
      <c r="C28" s="14" t="str">
        <f t="array" ref="C28">IFERROR(INDEX(commande[Référence produit],SMALL(IF(commande[Reference commande]=Facture!$C$10, ROW(commande[Référence produit])-5),ROW()-21)),"")</f>
        <v/>
      </c>
      <c r="D28" s="25" t="str">
        <f t="array" ref="D28">IFERROR(INDEX(commande[Nom du produit],SMALL(IF(commande[Reference commande]=Facture!$C$10, ROW(commande[Référence produit])-5),ROW()-21)),"")</f>
        <v/>
      </c>
      <c r="E28" s="14" t="str">
        <f t="array" ref="E28">IFERROR(INDEX(commande[Quantité],SMALL(IF(commande[Reference commande]=Facture!$C$10, ROW(commande[Référence produit])-5),ROW()-21)),"")</f>
        <v/>
      </c>
      <c r="F28" s="46" t="str">
        <f t="array" ref="F28">IFERROR(INDEX(commande[prix],SMALL(IF(commande[Reference commande]=Facture!$C$10, ROW(commande[Référence produit])-5),ROW()-21)),"")</f>
        <v/>
      </c>
      <c r="G28" s="46" t="str">
        <f t="array" ref="G28">IFERROR(E28*F28,"")</f>
        <v/>
      </c>
    </row>
    <row r="29" spans="2:7" x14ac:dyDescent="0.25">
      <c r="B29" s="14" t="str">
        <f t="shared" si="0"/>
        <v/>
      </c>
      <c r="C29" s="14" t="str">
        <f t="array" ref="C29">IFERROR(INDEX(commande[Référence produit],SMALL(IF(commande[Reference commande]=Facture!$C$10, ROW(commande[Référence produit])-5),ROW()-21)),"")</f>
        <v/>
      </c>
      <c r="D29" s="25" t="str">
        <f t="array" ref="D29">IFERROR(INDEX(commande[Nom du produit],SMALL(IF(commande[Reference commande]=Facture!$C$10, ROW(commande[Référence produit])-5),ROW()-21)),"")</f>
        <v/>
      </c>
      <c r="E29" s="14" t="str">
        <f t="array" ref="E29">IFERROR(INDEX(commande[Quantité],SMALL(IF(commande[Reference commande]=Facture!$C$10, ROW(commande[Référence produit])-5),ROW()-21)),"")</f>
        <v/>
      </c>
      <c r="F29" s="46" t="str">
        <f t="array" ref="F29">IFERROR(INDEX(commande[prix],SMALL(IF(commande[Reference commande]=Facture!$C$10, ROW(commande[Référence produit])-5),ROW()-21)),"")</f>
        <v/>
      </c>
      <c r="G29" s="46" t="str">
        <f t="array" ref="G29">IFERROR(E29*F29,"")</f>
        <v/>
      </c>
    </row>
    <row r="30" spans="2:7" x14ac:dyDescent="0.25">
      <c r="B30" s="14" t="str">
        <f t="shared" si="0"/>
        <v/>
      </c>
      <c r="C30" s="14" t="str">
        <f t="array" ref="C30">IFERROR(INDEX(commande[Référence produit],SMALL(IF(commande[Reference commande]=Facture!$C$10, ROW(commande[Référence produit])-5),ROW()-21)),"")</f>
        <v/>
      </c>
      <c r="D30" s="25" t="str">
        <f t="array" ref="D30">IFERROR(INDEX(commande[Nom du produit],SMALL(IF(commande[Reference commande]=Facture!$C$10, ROW(commande[Référence produit])-5),ROW()-21)),"")</f>
        <v/>
      </c>
      <c r="E30" s="14" t="str">
        <f t="array" ref="E30">IFERROR(INDEX(commande[Quantité],SMALL(IF(commande[Reference commande]=Facture!$C$10, ROW(commande[Référence produit])-5),ROW()-21)),"")</f>
        <v/>
      </c>
      <c r="F30" s="46" t="str">
        <f t="array" ref="F30">IFERROR(INDEX(commande[prix],SMALL(IF(commande[Reference commande]=Facture!$C$10, ROW(commande[Référence produit])-5),ROW()-21)),"")</f>
        <v/>
      </c>
      <c r="G30" s="46" t="str">
        <f t="array" ref="G30">IFERROR(E30*F30,"")</f>
        <v/>
      </c>
    </row>
    <row r="31" spans="2:7" x14ac:dyDescent="0.25">
      <c r="B31" s="14" t="str">
        <f t="shared" si="0"/>
        <v/>
      </c>
      <c r="C31" s="14" t="str">
        <f t="array" ref="C31">IFERROR(INDEX(commande[Référence produit],SMALL(IF(commande[Reference commande]=Facture!$C$10, ROW(commande[Référence produit])-5),ROW()-21)),"")</f>
        <v/>
      </c>
      <c r="D31" s="25" t="str">
        <f t="array" ref="D31">IFERROR(INDEX(commande[Nom du produit],SMALL(IF(commande[Reference commande]=Facture!$C$10, ROW(commande[Référence produit])-5),ROW()-21)),"")</f>
        <v/>
      </c>
      <c r="E31" s="14" t="str">
        <f t="array" ref="E31">IFERROR(INDEX(commande[Quantité],SMALL(IF(commande[Reference commande]=Facture!$C$10, ROW(commande[Référence produit])-5),ROW()-21)),"")</f>
        <v/>
      </c>
      <c r="F31" s="46" t="str">
        <f t="array" ref="F31">IFERROR(INDEX(commande[prix],SMALL(IF(commande[Reference commande]=Facture!$C$10, ROW(commande[Référence produit])-5),ROW()-21)),"")</f>
        <v/>
      </c>
      <c r="G31" s="46" t="str">
        <f t="array" ref="G31">IFERROR(E31*F31,"")</f>
        <v/>
      </c>
    </row>
    <row r="32" spans="2:7" x14ac:dyDescent="0.25">
      <c r="B32" s="14" t="str">
        <f t="shared" si="0"/>
        <v/>
      </c>
      <c r="C32" s="14" t="str">
        <f t="array" ref="C32">IFERROR(INDEX(commande[Référence produit],SMALL(IF(commande[Reference commande]=Facture!$C$10, ROW(commande[Référence produit])-5),ROW()-21)),"")</f>
        <v/>
      </c>
      <c r="D32" s="25" t="str">
        <f t="array" ref="D32">IFERROR(INDEX(commande[Nom du produit],SMALL(IF(commande[Reference commande]=Facture!$C$10, ROW(commande[Référence produit])-5),ROW()-21)),"")</f>
        <v/>
      </c>
      <c r="E32" s="14" t="str">
        <f t="array" ref="E32">IFERROR(INDEX(commande[Quantité],SMALL(IF(commande[Reference commande]=Facture!$C$10, ROW(commande[Référence produit])-5),ROW()-21)),"")</f>
        <v/>
      </c>
      <c r="F32" s="46" t="str">
        <f t="array" ref="F32">IFERROR(INDEX(commande[prix],SMALL(IF(commande[Reference commande]=Facture!$C$10, ROW(commande[Référence produit])-5),ROW()-21)),"")</f>
        <v/>
      </c>
      <c r="G32" s="46" t="str">
        <f t="array" ref="G32">IFERROR(E32*F32,"")</f>
        <v/>
      </c>
    </row>
    <row r="33" spans="2:7" x14ac:dyDescent="0.25">
      <c r="B33" s="14" t="str">
        <f t="shared" si="0"/>
        <v/>
      </c>
      <c r="C33" s="14" t="str">
        <f t="array" ref="C33">IFERROR(INDEX(commande[Référence produit],SMALL(IF(commande[Reference commande]=Facture!$C$10, ROW(commande[Référence produit])-5),ROW()-21)),"")</f>
        <v/>
      </c>
      <c r="D33" s="25" t="str">
        <f t="array" ref="D33">IFERROR(INDEX(commande[Nom du produit],SMALL(IF(commande[Reference commande]=Facture!$C$10, ROW(commande[Référence produit])-5),ROW()-21)),"")</f>
        <v/>
      </c>
      <c r="E33" s="14" t="str">
        <f t="array" ref="E33">IFERROR(INDEX(commande[Quantité],SMALL(IF(commande[Reference commande]=Facture!$C$10, ROW(commande[Référence produit])-5),ROW()-21)),"")</f>
        <v/>
      </c>
      <c r="F33" s="46" t="str">
        <f t="array" ref="F33">IFERROR(INDEX(commande[prix],SMALL(IF(commande[Reference commande]=Facture!$C$10, ROW(commande[Référence produit])-5),ROW()-21)),"")</f>
        <v/>
      </c>
      <c r="G33" s="46" t="str">
        <f t="array" ref="G33">IFERROR(E33*F33,"")</f>
        <v/>
      </c>
    </row>
    <row r="34" spans="2:7" x14ac:dyDescent="0.25">
      <c r="B34" s="14" t="str">
        <f t="shared" si="0"/>
        <v/>
      </c>
      <c r="C34" s="14" t="str">
        <f t="array" ref="C34">IFERROR(INDEX(commande[Référence produit],SMALL(IF(commande[Reference commande]=Facture!$C$10, ROW(commande[Référence produit])-5),ROW()-21)),"")</f>
        <v/>
      </c>
      <c r="D34" s="25" t="str">
        <f t="array" ref="D34">IFERROR(INDEX(commande[Nom du produit],SMALL(IF(commande[Reference commande]=Facture!$C$10, ROW(commande[Référence produit])-5),ROW()-21)),"")</f>
        <v/>
      </c>
      <c r="E34" s="14" t="str">
        <f t="array" ref="E34">IFERROR(INDEX(commande[Quantité],SMALL(IF(commande[Reference commande]=Facture!$C$10, ROW(commande[Référence produit])-5),ROW()-21)),"")</f>
        <v/>
      </c>
      <c r="F34" s="46" t="str">
        <f t="array" ref="F34">IFERROR(INDEX(commande[prix],SMALL(IF(commande[Reference commande]=Facture!$C$10, ROW(commande[Référence produit])-5),ROW()-21)),"")</f>
        <v/>
      </c>
      <c r="G34" s="46" t="str">
        <f t="array" ref="G34">IFERROR(E34*F34,"")</f>
        <v/>
      </c>
    </row>
    <row r="35" spans="2:7" x14ac:dyDescent="0.25">
      <c r="B35" s="14" t="str">
        <f t="shared" si="0"/>
        <v/>
      </c>
      <c r="C35" s="14" t="str">
        <f t="array" ref="C35">IFERROR(INDEX(commande[Référence produit],SMALL(IF(commande[Reference commande]=Facture!$C$10, ROW(commande[Référence produit])-5),ROW()-21)),"")</f>
        <v/>
      </c>
      <c r="D35" s="25" t="str">
        <f t="array" ref="D35">IFERROR(INDEX(commande[Nom du produit],SMALL(IF(commande[Reference commande]=Facture!$C$10, ROW(commande[Référence produit])-5),ROW()-21)),"")</f>
        <v/>
      </c>
      <c r="E35" s="14" t="str">
        <f t="array" ref="E35">IFERROR(INDEX(commande[Quantité],SMALL(IF(commande[Reference commande]=Facture!$C$10, ROW(commande[Référence produit])-5),ROW()-21)),"")</f>
        <v/>
      </c>
      <c r="F35" s="46" t="str">
        <f t="array" ref="F35">IFERROR(INDEX(commande[prix],SMALL(IF(commande[Reference commande]=Facture!$C$10, ROW(commande[Référence produit])-5),ROW()-21)),"")</f>
        <v/>
      </c>
      <c r="G35" s="46" t="str">
        <f t="array" ref="G35">IFERROR(E35*F35,"")</f>
        <v/>
      </c>
    </row>
    <row r="36" spans="2:7" x14ac:dyDescent="0.25">
      <c r="B36" s="14" t="str">
        <f t="shared" si="0"/>
        <v/>
      </c>
      <c r="C36" s="14" t="str">
        <f t="array" ref="C36">IFERROR(INDEX(commande[Référence produit],SMALL(IF(commande[Reference commande]=Facture!$C$10, ROW(commande[Référence produit])-5),ROW()-21)),"")</f>
        <v/>
      </c>
      <c r="D36" s="25" t="str">
        <f t="array" ref="D36">IFERROR(INDEX(commande[Nom du produit],SMALL(IF(commande[Reference commande]=Facture!$C$10, ROW(commande[Référence produit])-5),ROW()-21)),"")</f>
        <v/>
      </c>
      <c r="E36" s="14" t="str">
        <f t="array" ref="E36">IFERROR(INDEX(commande[Quantité],SMALL(IF(commande[Reference commande]=Facture!$C$10, ROW(commande[Référence produit])-5),ROW()-21)),"")</f>
        <v/>
      </c>
      <c r="F36" s="46" t="str">
        <f t="array" ref="F36">IFERROR(INDEX(commande[prix],SMALL(IF(commande[Reference commande]=Facture!$C$10, ROW(commande[Référence produit])-5),ROW()-21)),"")</f>
        <v/>
      </c>
      <c r="G36" s="46" t="str">
        <f t="array" ref="G36">IFERROR(E36*F36,"")</f>
        <v/>
      </c>
    </row>
    <row r="37" spans="2:7" x14ac:dyDescent="0.25">
      <c r="B37" s="14" t="str">
        <f t="shared" si="0"/>
        <v/>
      </c>
      <c r="C37" s="14" t="str">
        <f t="array" ref="C37">IFERROR(INDEX(commande[Référence produit],SMALL(IF(commande[Reference commande]=Facture!$C$10, ROW(commande[Référence produit])-5),ROW()-21)),"")</f>
        <v/>
      </c>
      <c r="D37" s="25" t="str">
        <f t="array" ref="D37">IFERROR(INDEX(commande[Nom du produit],SMALL(IF(commande[Reference commande]=Facture!$C$10, ROW(commande[Référence produit])-5),ROW()-21)),"")</f>
        <v/>
      </c>
      <c r="E37" s="14" t="str">
        <f t="array" ref="E37">IFERROR(INDEX(commande[Quantité],SMALL(IF(commande[Reference commande]=Facture!$C$10, ROW(commande[Référence produit])-5),ROW()-21)),"")</f>
        <v/>
      </c>
      <c r="F37" s="46" t="str">
        <f t="array" ref="F37">IFERROR(INDEX(commande[prix],SMALL(IF(commande[Reference commande]=Facture!$C$10, ROW(commande[Référence produit])-5),ROW()-21)),"")</f>
        <v/>
      </c>
      <c r="G37" s="46" t="str">
        <f t="array" ref="G37">IFERROR(E37*F37,"")</f>
        <v/>
      </c>
    </row>
    <row r="38" spans="2:7" x14ac:dyDescent="0.25">
      <c r="B38" s="14" t="str">
        <f t="shared" si="0"/>
        <v/>
      </c>
      <c r="C38" s="14" t="str">
        <f t="array" ref="C38">IFERROR(INDEX(commande[Référence produit],SMALL(IF(commande[Reference commande]=Facture!$C$10, ROW(commande[Référence produit])-5),ROW()-21)),"")</f>
        <v/>
      </c>
      <c r="D38" s="25" t="str">
        <f t="array" ref="D38">IFERROR(INDEX(commande[Nom du produit],SMALL(IF(commande[Reference commande]=Facture!$C$10, ROW(commande[Référence produit])-5),ROW()-21)),"")</f>
        <v/>
      </c>
      <c r="E38" s="14" t="str">
        <f t="array" ref="E38">IFERROR(INDEX(commande[Quantité],SMALL(IF(commande[Reference commande]=Facture!$C$10, ROW(commande[Référence produit])-5),ROW()-21)),"")</f>
        <v/>
      </c>
      <c r="F38" s="46" t="str">
        <f t="array" ref="F38">IFERROR(INDEX(commande[prix],SMALL(IF(commande[Reference commande]=Facture!$C$10, ROW(commande[Référence produit])-5),ROW()-21)),"")</f>
        <v/>
      </c>
      <c r="G38" s="46" t="str">
        <f t="array" ref="G38">IFERROR(E38*F38,"")</f>
        <v/>
      </c>
    </row>
    <row r="39" spans="2:7" x14ac:dyDescent="0.25">
      <c r="B39" s="14" t="str">
        <f t="shared" si="0"/>
        <v/>
      </c>
      <c r="C39" s="14" t="str">
        <f t="array" ref="C39">IFERROR(INDEX(commande[Référence produit],SMALL(IF(commande[Reference commande]=Facture!$C$10, ROW(commande[Référence produit])-5),ROW()-21)),"")</f>
        <v/>
      </c>
      <c r="D39" s="25" t="str">
        <f t="array" ref="D39">IFERROR(INDEX(commande[Nom du produit],SMALL(IF(commande[Reference commande]=Facture!$C$10, ROW(commande[Référence produit])-5),ROW()-21)),"")</f>
        <v/>
      </c>
      <c r="E39" s="14" t="str">
        <f t="array" ref="E39">IFERROR(INDEX(commande[Quantité],SMALL(IF(commande[Reference commande]=Facture!$C$10, ROW(commande[Référence produit])-5),ROW()-21)),"")</f>
        <v/>
      </c>
      <c r="F39" s="46" t="str">
        <f t="array" ref="F39">IFERROR(INDEX(commande[prix],SMALL(IF(commande[Reference commande]=Facture!$C$10, ROW(commande[Référence produit])-5),ROW()-21)),"")</f>
        <v/>
      </c>
      <c r="G39" s="46" t="str">
        <f t="array" ref="G39">IFERROR(E39*F39,"")</f>
        <v/>
      </c>
    </row>
    <row r="40" spans="2:7" x14ac:dyDescent="0.25">
      <c r="B40" s="14" t="str">
        <f t="shared" si="0"/>
        <v/>
      </c>
      <c r="C40" s="14" t="str">
        <f t="array" ref="C40">IFERROR(INDEX(commande[Référence produit],SMALL(IF(commande[Reference commande]=Facture!$C$10, ROW(commande[Référence produit])-5),ROW()-21)),"")</f>
        <v/>
      </c>
      <c r="D40" s="25" t="str">
        <f t="array" ref="D40">IFERROR(INDEX(commande[Nom du produit],SMALL(IF(commande[Reference commande]=Facture!$C$10, ROW(commande[Référence produit])-5),ROW()-21)),"")</f>
        <v/>
      </c>
      <c r="E40" s="14" t="str">
        <f t="array" ref="E40">IFERROR(INDEX(commande[Quantité],SMALL(IF(commande[Reference commande]=Facture!$C$10, ROW(commande[Référence produit])-5),ROW()-21)),"")</f>
        <v/>
      </c>
      <c r="F40" s="46" t="str">
        <f t="array" ref="F40">IFERROR(INDEX(commande[prix],SMALL(IF(commande[Reference commande]=Facture!$C$10, ROW(commande[Référence produit])-5),ROW()-21)),"")</f>
        <v/>
      </c>
      <c r="G40" s="46" t="str">
        <f t="array" ref="G40">IFERROR(E40*F40,"")</f>
        <v/>
      </c>
    </row>
    <row r="41" spans="2:7" x14ac:dyDescent="0.25">
      <c r="B41" s="14" t="str">
        <f t="shared" si="0"/>
        <v/>
      </c>
      <c r="C41" s="14" t="str">
        <f t="array" ref="C41">IFERROR(INDEX(commande[Référence produit],SMALL(IF(commande[Reference commande]=Facture!$C$10, ROW(commande[Référence produit])-5),ROW()-21)),"")</f>
        <v/>
      </c>
      <c r="D41" s="25" t="str">
        <f t="array" ref="D41">IFERROR(INDEX(commande[Nom du produit],SMALL(IF(commande[Reference commande]=Facture!$C$10, ROW(commande[Référence produit])-5),ROW()-21)),"")</f>
        <v/>
      </c>
      <c r="E41" s="14" t="str">
        <f t="array" ref="E41">IFERROR(INDEX(commande[Quantité],SMALL(IF(commande[Reference commande]=Facture!$C$10, ROW(commande[Référence produit])-5),ROW()-21)),"")</f>
        <v/>
      </c>
      <c r="F41" s="47" t="str">
        <f t="array" ref="F41">IFERROR(INDEX(commande[prix],SMALL(IF(commande[Reference commande]=Facture!$C$10, ROW(commande[Référence produit])-5),ROW()-21)),"")</f>
        <v/>
      </c>
      <c r="G41" s="47" t="str">
        <f t="array" ref="G41">IFERROR(E41*F41,"")</f>
        <v/>
      </c>
    </row>
    <row r="42" spans="2:7" x14ac:dyDescent="0.25">
      <c r="B42" s="14" t="str">
        <f t="shared" si="0"/>
        <v/>
      </c>
      <c r="C42" s="14" t="str">
        <f t="array" ref="C42">IFERROR(INDEX(commande[Référence produit],SMALL(IF(commande[Reference commande]=Facture!$C$10, ROW(commande[Référence produit])-5),ROW()-21)),"")</f>
        <v/>
      </c>
      <c r="D42" s="25" t="str">
        <f t="array" ref="D42">IFERROR(INDEX(commande[Nom du produit],SMALL(IF(commande[Reference commande]=Facture!$C$10, ROW(commande[Référence produit])-5),ROW()-21)),"")</f>
        <v/>
      </c>
      <c r="E42" s="14" t="str">
        <f t="array" ref="E42">IFERROR(INDEX(commande[Quantité],SMALL(IF(commande[Reference commande]=Facture!$C$10, ROW(commande[Référence produit])-5),ROW()-21)),"")</f>
        <v/>
      </c>
      <c r="F42" s="47" t="str">
        <f t="array" ref="F42">IFERROR(INDEX(commande[prix],SMALL(IF(commande[Reference commande]=Facture!$C$10, ROW(commande[Référence produit])-5),ROW()-21)),"")</f>
        <v/>
      </c>
      <c r="G42" s="47" t="str">
        <f t="array" ref="G42">IFERROR(E42*F42,"")</f>
        <v/>
      </c>
    </row>
    <row r="43" spans="2:7" x14ac:dyDescent="0.25">
      <c r="B43" s="14" t="str">
        <f t="shared" si="0"/>
        <v/>
      </c>
      <c r="C43" s="14" t="str">
        <f t="array" ref="C43">IFERROR(INDEX(commande[Référence produit],SMALL(IF(commande[Reference commande]=Facture!$C$10, ROW(commande[Référence produit])-5),ROW()-21)),"")</f>
        <v/>
      </c>
      <c r="D43" s="48" t="str">
        <f t="array" ref="D43">IFERROR(INDEX(commande[Nom du produit],SMALL(IF(commande[Reference commande]=Facture!$C$10, ROW(commande[Référence produit])-5),ROW()-21)),"")</f>
        <v/>
      </c>
      <c r="E43" s="49" t="str">
        <f t="array" ref="E43">IFERROR(INDEX(commande[Quantité],SMALL(IF(commande[Reference commande]=Facture!$C$10, ROW(commande[Référence produit])-5),ROW()-21)),"")</f>
        <v/>
      </c>
      <c r="F43" s="47" t="str">
        <f t="array" ref="F43">IFERROR(INDEX(commande[prix],SMALL(IF(commande[Reference commande]=Facture!$C$10, ROW(commande[Référence produit])-5),ROW()-21)),"")</f>
        <v/>
      </c>
      <c r="G43" s="47" t="str">
        <f t="array" ref="G43">IFERROR(E43*F43,"")</f>
        <v/>
      </c>
    </row>
    <row r="44" spans="2:7" x14ac:dyDescent="0.25">
      <c r="B44" s="14" t="str">
        <f t="shared" si="0"/>
        <v/>
      </c>
      <c r="C44" s="14" t="str">
        <f t="array" ref="C44">IFERROR(INDEX(commande[Référence produit],SMALL(IF(commande[Reference commande]=Facture!$C$10, ROW(commande[Référence produit])-5),ROW()-21)),"")</f>
        <v/>
      </c>
      <c r="D44" s="48" t="str">
        <f t="array" ref="D44">IFERROR(INDEX(commande[Nom du produit],SMALL(IF(commande[Reference commande]=Facture!$C$10, ROW(commande[Référence produit])-5),ROW()-21)),"")</f>
        <v/>
      </c>
      <c r="E44" s="49" t="str">
        <f t="array" ref="E44">IFERROR(INDEX(commande[Quantité],SMALL(IF(commande[Reference commande]=Facture!$C$10, ROW(commande[Référence produit])-5),ROW()-21)),"")</f>
        <v/>
      </c>
      <c r="F44" s="47" t="str">
        <f t="array" ref="F44">IFERROR(INDEX(commande[prix],SMALL(IF(commande[Reference commande]=Facture!$C$10, ROW(commande[Référence produit])-5),ROW()-21)),"")</f>
        <v/>
      </c>
      <c r="G44" s="47" t="str">
        <f t="array" ref="G44">IFERROR(E44*F44,"")</f>
        <v/>
      </c>
    </row>
    <row r="45" spans="2:7" x14ac:dyDescent="0.25">
      <c r="B45" s="14" t="str">
        <f t="shared" si="0"/>
        <v/>
      </c>
      <c r="C45" s="49" t="str">
        <f t="array" ref="C45">IFERROR(INDEX(commande[Référence produit],SMALL(IF(commande[Reference commande]=Facture!$C$10, ROW(commande[Référence produit])-5),ROW()-21)),"")</f>
        <v/>
      </c>
      <c r="D45" s="48" t="str">
        <f t="array" ref="D45">IFERROR(INDEX(commande[Nom du produit],SMALL(IF(commande[Reference commande]=Facture!$C$10, ROW(commande[Référence produit])-5),ROW()-21)),"")</f>
        <v/>
      </c>
      <c r="E45" s="49" t="str">
        <f t="array" ref="E45">IFERROR(INDEX(commande[Quantité],SMALL(IF(commande[Reference commande]=Facture!$C$10, ROW(commande[Référence produit])-5),ROW()-21)),"")</f>
        <v/>
      </c>
      <c r="F45" s="47" t="str">
        <f t="array" ref="F45">IFERROR(INDEX(commande[prix],SMALL(IF(commande[Reference commande]=Facture!$C$10, ROW(commande[Référence produit])-5),ROW()-21)),"")</f>
        <v/>
      </c>
      <c r="G45" s="47" t="str">
        <f t="array" ref="G45">IFERROR(E45*F45,"")</f>
        <v/>
      </c>
    </row>
    <row r="47" spans="2:7" x14ac:dyDescent="0.25">
      <c r="B47" s="14"/>
      <c r="C47" s="14"/>
      <c r="D47" s="25"/>
      <c r="E47" s="14"/>
      <c r="F47" s="14"/>
      <c r="G47" s="14"/>
    </row>
    <row r="48" spans="2:7" x14ac:dyDescent="0.25">
      <c r="B48" s="7"/>
      <c r="C48" s="7"/>
      <c r="D48" s="26"/>
      <c r="E48" s="7"/>
      <c r="F48" s="7"/>
      <c r="G48" s="7"/>
    </row>
    <row r="49" spans="2:7" x14ac:dyDescent="0.25">
      <c r="B49" s="52" t="str">
        <f>Config!C34</f>
        <v>merci de nous faire confiance</v>
      </c>
      <c r="C49" s="52"/>
      <c r="D49" s="52"/>
      <c r="E49" s="52"/>
    </row>
    <row r="50" spans="2:7" x14ac:dyDescent="0.25">
      <c r="B50" s="53"/>
      <c r="C50" s="53"/>
      <c r="D50" s="53"/>
      <c r="E50" s="53"/>
    </row>
    <row r="51" spans="2:7" x14ac:dyDescent="0.25">
      <c r="B51" s="53"/>
      <c r="C51" s="53"/>
      <c r="D51" s="53"/>
      <c r="E51" s="53"/>
      <c r="F51" t="s">
        <v>74</v>
      </c>
      <c r="G51" s="15">
        <f>SUM(G22:G46)</f>
        <v>115000</v>
      </c>
    </row>
    <row r="52" spans="2:7" x14ac:dyDescent="0.25">
      <c r="B52" s="53"/>
      <c r="C52" s="53"/>
      <c r="D52" s="53"/>
      <c r="E52" s="53"/>
      <c r="F52" t="s">
        <v>75</v>
      </c>
      <c r="G52" s="15">
        <v>0</v>
      </c>
    </row>
    <row r="53" spans="2:7" x14ac:dyDescent="0.25">
      <c r="B53" s="53"/>
      <c r="C53" s="53"/>
      <c r="D53" s="53"/>
      <c r="E53" s="53"/>
      <c r="F53" t="s">
        <v>76</v>
      </c>
      <c r="G53" s="15">
        <f>G51-G52</f>
        <v>115000</v>
      </c>
    </row>
    <row r="54" spans="2:7" x14ac:dyDescent="0.25">
      <c r="B54" s="53"/>
      <c r="C54" s="53"/>
      <c r="D54" s="53"/>
      <c r="E54" s="53"/>
    </row>
  </sheetData>
  <mergeCells count="6">
    <mergeCell ref="B49:E54"/>
    <mergeCell ref="B7:C8"/>
    <mergeCell ref="B11:C12"/>
    <mergeCell ref="B15:C15"/>
    <mergeCell ref="E7:G8"/>
    <mergeCell ref="E15:G15"/>
  </mergeCells>
  <conditionalFormatting sqref="B46:G46 D23:G45 B23:B45">
    <cfRule type="expression" dxfId="0" priority="2">
      <formula>$B23 &lt;&gt; ""</formula>
    </cfRule>
  </conditionalFormatting>
  <pageMargins left="0.70866141732283472" right="0.70866141732283472" top="0.74803149606299213" bottom="0.74803149606299213" header="0.31496062992125984" footer="0.31496062992125984"/>
  <pageSetup paperSize="9" scale="7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C93-6C9F-4397-8ABA-7C53BFCFA327}">
  <sheetPr codeName="Feuil6"/>
  <dimension ref="B1:I21"/>
  <sheetViews>
    <sheetView showGridLines="0" workbookViewId="0">
      <selection activeCell="B1" sqref="B1"/>
    </sheetView>
  </sheetViews>
  <sheetFormatPr baseColWidth="10" defaultRowHeight="15" x14ac:dyDescent="0.25"/>
  <cols>
    <col min="7" max="7" width="13.42578125" customWidth="1"/>
    <col min="8" max="8" width="23.7109375" customWidth="1"/>
    <col min="9" max="9" width="26.85546875" customWidth="1"/>
    <col min="10" max="10" width="14.7109375" customWidth="1"/>
  </cols>
  <sheetData>
    <row r="1" spans="2:9" ht="41.25" customHeight="1" x14ac:dyDescent="0.25"/>
    <row r="3" spans="2:9" ht="16.5" customHeight="1" x14ac:dyDescent="0.25"/>
    <row r="5" spans="2:9" x14ac:dyDescent="0.25">
      <c r="B5" s="2" t="s">
        <v>0</v>
      </c>
      <c r="C5" s="2" t="s">
        <v>1</v>
      </c>
      <c r="D5" s="2" t="s">
        <v>2</v>
      </c>
      <c r="E5" s="2" t="s">
        <v>3</v>
      </c>
      <c r="F5" s="2" t="s">
        <v>4</v>
      </c>
      <c r="G5" s="2" t="s">
        <v>5</v>
      </c>
      <c r="H5" s="2" t="s">
        <v>6</v>
      </c>
      <c r="I5" s="2" t="s">
        <v>7</v>
      </c>
    </row>
    <row r="6" spans="2:9" x14ac:dyDescent="0.25">
      <c r="B6" s="2" t="s">
        <v>12</v>
      </c>
      <c r="C6" s="2" t="s">
        <v>8</v>
      </c>
      <c r="D6" s="2">
        <v>1000</v>
      </c>
      <c r="E6" s="2" t="s">
        <v>9</v>
      </c>
      <c r="F6" s="2" t="s">
        <v>10</v>
      </c>
      <c r="G6" s="2">
        <v>697506370</v>
      </c>
      <c r="H6" s="3" t="s">
        <v>11</v>
      </c>
      <c r="I6" s="2" t="str">
        <f>CONCATENATE(LEFT(F6,3),"-",E6)</f>
        <v>Cmr-Douala</v>
      </c>
    </row>
    <row r="7" spans="2:9" x14ac:dyDescent="0.25">
      <c r="B7" s="2" t="s">
        <v>13</v>
      </c>
      <c r="C7" s="2" t="s">
        <v>8</v>
      </c>
      <c r="D7" s="2">
        <v>1001</v>
      </c>
      <c r="E7" s="2" t="s">
        <v>9</v>
      </c>
      <c r="F7" s="2" t="s">
        <v>10</v>
      </c>
      <c r="G7" s="2">
        <v>697506371</v>
      </c>
      <c r="H7" s="3" t="s">
        <v>11</v>
      </c>
      <c r="I7" s="2" t="str">
        <f t="shared" ref="I7:I21" si="0">CONCATENATE(LEFT(F7,3),"-",E7)</f>
        <v>Cmr-Douala</v>
      </c>
    </row>
    <row r="8" spans="2:9" x14ac:dyDescent="0.25">
      <c r="B8" s="2" t="s">
        <v>14</v>
      </c>
      <c r="C8" s="2" t="s">
        <v>8</v>
      </c>
      <c r="D8" s="2">
        <v>1002</v>
      </c>
      <c r="E8" s="2" t="s">
        <v>9</v>
      </c>
      <c r="F8" s="2" t="s">
        <v>10</v>
      </c>
      <c r="G8" s="2">
        <v>697506372</v>
      </c>
      <c r="H8" s="3" t="s">
        <v>11</v>
      </c>
      <c r="I8" s="2" t="str">
        <f t="shared" si="0"/>
        <v>Cmr-Douala</v>
      </c>
    </row>
    <row r="9" spans="2:9" x14ac:dyDescent="0.25">
      <c r="B9" s="2" t="s">
        <v>15</v>
      </c>
      <c r="C9" s="2" t="s">
        <v>8</v>
      </c>
      <c r="D9" s="2">
        <v>1003</v>
      </c>
      <c r="E9" s="2" t="s">
        <v>9</v>
      </c>
      <c r="F9" s="2" t="s">
        <v>10</v>
      </c>
      <c r="G9" s="2">
        <v>697506373</v>
      </c>
      <c r="H9" s="3" t="s">
        <v>11</v>
      </c>
      <c r="I9" s="2" t="str">
        <f t="shared" si="0"/>
        <v>Cmr-Douala</v>
      </c>
    </row>
    <row r="10" spans="2:9" x14ac:dyDescent="0.25">
      <c r="B10" s="2" t="s">
        <v>16</v>
      </c>
      <c r="C10" s="2" t="s">
        <v>8</v>
      </c>
      <c r="D10" s="2">
        <v>1004</v>
      </c>
      <c r="E10" s="2" t="s">
        <v>9</v>
      </c>
      <c r="F10" s="2" t="s">
        <v>10</v>
      </c>
      <c r="G10" s="2">
        <v>697506374</v>
      </c>
      <c r="H10" s="3" t="s">
        <v>11</v>
      </c>
      <c r="I10" s="2" t="str">
        <f t="shared" si="0"/>
        <v>Cmr-Douala</v>
      </c>
    </row>
    <row r="11" spans="2:9" x14ac:dyDescent="0.25">
      <c r="B11" s="2" t="s">
        <v>17</v>
      </c>
      <c r="C11" s="2" t="s">
        <v>8</v>
      </c>
      <c r="D11" s="2">
        <v>1005</v>
      </c>
      <c r="E11" s="2" t="s">
        <v>9</v>
      </c>
      <c r="F11" s="2" t="s">
        <v>10</v>
      </c>
      <c r="G11" s="2">
        <v>697506375</v>
      </c>
      <c r="H11" s="3" t="s">
        <v>11</v>
      </c>
      <c r="I11" s="2" t="str">
        <f t="shared" si="0"/>
        <v>Cmr-Douala</v>
      </c>
    </row>
    <row r="12" spans="2:9" x14ac:dyDescent="0.25">
      <c r="B12" s="2" t="s">
        <v>18</v>
      </c>
      <c r="C12" s="2" t="s">
        <v>8</v>
      </c>
      <c r="D12" s="2">
        <v>1006</v>
      </c>
      <c r="E12" s="2" t="s">
        <v>9</v>
      </c>
      <c r="F12" s="2" t="s">
        <v>10</v>
      </c>
      <c r="G12" s="2">
        <v>697506376</v>
      </c>
      <c r="H12" s="3" t="s">
        <v>11</v>
      </c>
      <c r="I12" s="2" t="str">
        <f t="shared" si="0"/>
        <v>Cmr-Douala</v>
      </c>
    </row>
    <row r="13" spans="2:9" x14ac:dyDescent="0.25">
      <c r="B13" s="2" t="s">
        <v>19</v>
      </c>
      <c r="C13" s="2" t="s">
        <v>8</v>
      </c>
      <c r="D13" s="2">
        <v>1007</v>
      </c>
      <c r="E13" s="2" t="s">
        <v>9</v>
      </c>
      <c r="F13" s="2" t="s">
        <v>10</v>
      </c>
      <c r="G13" s="2">
        <v>697506377</v>
      </c>
      <c r="H13" s="3" t="s">
        <v>11</v>
      </c>
      <c r="I13" s="2" t="str">
        <f t="shared" si="0"/>
        <v>Cmr-Douala</v>
      </c>
    </row>
    <row r="14" spans="2:9" x14ac:dyDescent="0.25">
      <c r="B14" s="2" t="s">
        <v>20</v>
      </c>
      <c r="C14" s="2" t="s">
        <v>8</v>
      </c>
      <c r="D14" s="2">
        <v>1008</v>
      </c>
      <c r="E14" s="2" t="s">
        <v>9</v>
      </c>
      <c r="F14" s="2" t="s">
        <v>10</v>
      </c>
      <c r="G14" s="2">
        <v>697506378</v>
      </c>
      <c r="H14" s="3" t="s">
        <v>11</v>
      </c>
      <c r="I14" s="2" t="str">
        <f t="shared" si="0"/>
        <v>Cmr-Douala</v>
      </c>
    </row>
    <row r="15" spans="2:9" x14ac:dyDescent="0.25">
      <c r="B15" s="2" t="s">
        <v>21</v>
      </c>
      <c r="C15" s="2" t="s">
        <v>8</v>
      </c>
      <c r="D15" s="2">
        <v>1009</v>
      </c>
      <c r="E15" s="2" t="s">
        <v>9</v>
      </c>
      <c r="F15" s="2" t="s">
        <v>10</v>
      </c>
      <c r="G15" s="2">
        <v>697506379</v>
      </c>
      <c r="H15" s="3" t="s">
        <v>11</v>
      </c>
      <c r="I15" s="2" t="str">
        <f t="shared" si="0"/>
        <v>Cmr-Douala</v>
      </c>
    </row>
    <row r="16" spans="2:9" x14ac:dyDescent="0.25">
      <c r="B16" s="2" t="s">
        <v>22</v>
      </c>
      <c r="C16" s="2" t="s">
        <v>8</v>
      </c>
      <c r="D16" s="2">
        <v>1010</v>
      </c>
      <c r="E16" s="2" t="s">
        <v>9</v>
      </c>
      <c r="F16" s="2" t="s">
        <v>10</v>
      </c>
      <c r="G16" s="2">
        <v>697506380</v>
      </c>
      <c r="H16" s="3" t="s">
        <v>11</v>
      </c>
      <c r="I16" s="2" t="str">
        <f t="shared" si="0"/>
        <v>Cmr-Douala</v>
      </c>
    </row>
    <row r="17" spans="2:9" x14ac:dyDescent="0.25">
      <c r="B17" s="2" t="s">
        <v>23</v>
      </c>
      <c r="C17" s="2" t="s">
        <v>8</v>
      </c>
      <c r="D17" s="2">
        <v>1011</v>
      </c>
      <c r="E17" s="2" t="s">
        <v>9</v>
      </c>
      <c r="F17" s="2" t="s">
        <v>10</v>
      </c>
      <c r="G17" s="2">
        <v>697506381</v>
      </c>
      <c r="H17" s="3" t="s">
        <v>11</v>
      </c>
      <c r="I17" s="2" t="str">
        <f t="shared" si="0"/>
        <v>Cmr-Douala</v>
      </c>
    </row>
    <row r="18" spans="2:9" x14ac:dyDescent="0.25">
      <c r="B18" s="2" t="s">
        <v>24</v>
      </c>
      <c r="C18" s="2" t="s">
        <v>8</v>
      </c>
      <c r="D18" s="2">
        <v>1012</v>
      </c>
      <c r="E18" s="2" t="s">
        <v>9</v>
      </c>
      <c r="F18" s="2" t="s">
        <v>10</v>
      </c>
      <c r="G18" s="2">
        <v>697506382</v>
      </c>
      <c r="H18" s="3" t="s">
        <v>11</v>
      </c>
      <c r="I18" s="2" t="str">
        <f t="shared" si="0"/>
        <v>Cmr-Douala</v>
      </c>
    </row>
    <row r="19" spans="2:9" x14ac:dyDescent="0.25">
      <c r="B19" s="2" t="s">
        <v>25</v>
      </c>
      <c r="C19" s="2" t="s">
        <v>8</v>
      </c>
      <c r="D19" s="2">
        <v>1013</v>
      </c>
      <c r="E19" s="2" t="s">
        <v>9</v>
      </c>
      <c r="F19" s="2" t="s">
        <v>10</v>
      </c>
      <c r="G19" s="2">
        <v>697506383</v>
      </c>
      <c r="H19" s="3" t="s">
        <v>11</v>
      </c>
      <c r="I19" s="2" t="str">
        <f t="shared" si="0"/>
        <v>Cmr-Douala</v>
      </c>
    </row>
    <row r="20" spans="2:9" x14ac:dyDescent="0.25">
      <c r="B20" s="2" t="s">
        <v>26</v>
      </c>
      <c r="C20" s="2" t="s">
        <v>8</v>
      </c>
      <c r="D20" s="2">
        <v>1014</v>
      </c>
      <c r="E20" s="2" t="s">
        <v>9</v>
      </c>
      <c r="F20" s="2" t="s">
        <v>10</v>
      </c>
      <c r="G20" s="2">
        <v>697506384</v>
      </c>
      <c r="H20" s="3" t="s">
        <v>11</v>
      </c>
      <c r="I20" s="2" t="str">
        <f t="shared" si="0"/>
        <v>Cmr-Douala</v>
      </c>
    </row>
    <row r="21" spans="2:9" x14ac:dyDescent="0.25">
      <c r="B21" s="2" t="s">
        <v>27</v>
      </c>
      <c r="C21" s="2" t="s">
        <v>8</v>
      </c>
      <c r="D21" s="2">
        <v>1015</v>
      </c>
      <c r="E21" s="2" t="s">
        <v>9</v>
      </c>
      <c r="F21" s="2" t="s">
        <v>10</v>
      </c>
      <c r="G21" s="2">
        <v>697506385</v>
      </c>
      <c r="H21" s="3" t="s">
        <v>11</v>
      </c>
      <c r="I21" s="2" t="str">
        <f t="shared" si="0"/>
        <v>Cmr-Douala</v>
      </c>
    </row>
  </sheetData>
  <hyperlinks>
    <hyperlink ref="H6" r:id="rId1" xr:uid="{1BA0DA9C-ADA5-4A3B-961C-1014C17241CB}"/>
    <hyperlink ref="H7" r:id="rId2" xr:uid="{BCB77FDD-F6B9-4A0F-BC79-8A2A25693B2D}"/>
    <hyperlink ref="H8" r:id="rId3" xr:uid="{9B9C306E-DF1F-48E4-A206-193C6F69ECDE}"/>
    <hyperlink ref="H9" r:id="rId4" xr:uid="{3BC3F956-F6B3-4D2C-9781-6078020F9EE3}"/>
    <hyperlink ref="H10" r:id="rId5" xr:uid="{A07F1E8A-106C-46CB-8454-583160E88532}"/>
    <hyperlink ref="H11" r:id="rId6" xr:uid="{1B67758B-A15F-4BF1-9A07-0F98CF4ABC39}"/>
    <hyperlink ref="H12" r:id="rId7" xr:uid="{282740FA-1BDE-4FD2-A385-9FA56C190CB4}"/>
    <hyperlink ref="H13" r:id="rId8" xr:uid="{76C75A02-0C58-4D9F-91D7-B789519BCC65}"/>
    <hyperlink ref="H14" r:id="rId9" xr:uid="{97E0FCF3-25E4-429D-ADB5-DE24CE188EB6}"/>
    <hyperlink ref="H15" r:id="rId10" xr:uid="{9C209297-A23A-403F-8577-13F2C8B53FC5}"/>
    <hyperlink ref="H16" r:id="rId11" xr:uid="{79850DD2-7565-4A8D-B220-9E55E704BF64}"/>
    <hyperlink ref="H17" r:id="rId12" xr:uid="{AC75499C-988E-448C-9410-0E2747D7E539}"/>
    <hyperlink ref="H18" r:id="rId13" xr:uid="{D02F5DA0-F80F-45A2-A2E0-30D03591133D}"/>
    <hyperlink ref="H19" r:id="rId14" xr:uid="{9E70E9FB-988A-4C59-AB8A-926B25247E54}"/>
    <hyperlink ref="H20" r:id="rId15" xr:uid="{D002CE86-C5E7-4A72-AFAA-8FD63E084E11}"/>
    <hyperlink ref="H21" r:id="rId16" xr:uid="{2C4C3A13-98A8-4D43-B1F8-230647FB01D8}"/>
  </hyperlinks>
  <pageMargins left="0.7" right="0.7" top="0.75" bottom="0.75" header="0.3" footer="0.3"/>
  <drawing r:id="rId17"/>
  <tableParts count="1"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FD73-DB02-45AA-B299-FD11B84A03BD}">
  <sheetPr codeName="Feuil7"/>
  <dimension ref="B1:D25"/>
  <sheetViews>
    <sheetView showGridLines="0" workbookViewId="0">
      <selection activeCell="B1" sqref="B1"/>
    </sheetView>
  </sheetViews>
  <sheetFormatPr baseColWidth="10" defaultRowHeight="15" x14ac:dyDescent="0.25"/>
  <cols>
    <col min="2" max="2" width="22.7109375" customWidth="1"/>
    <col min="3" max="3" width="23" customWidth="1"/>
    <col min="4" max="4" width="19.7109375" style="33" customWidth="1"/>
  </cols>
  <sheetData>
    <row r="1" spans="2:4" ht="40.5" customHeight="1" x14ac:dyDescent="0.25"/>
    <row r="5" spans="2:4" x14ac:dyDescent="0.25">
      <c r="B5" s="43" t="s">
        <v>111</v>
      </c>
      <c r="C5" s="43" t="s">
        <v>0</v>
      </c>
      <c r="D5" s="44" t="s">
        <v>110</v>
      </c>
    </row>
    <row r="6" spans="2:4" x14ac:dyDescent="0.25">
      <c r="B6" s="35" t="s">
        <v>112</v>
      </c>
      <c r="C6" s="35" t="s">
        <v>113</v>
      </c>
      <c r="D6" s="36">
        <v>43237.912847222222</v>
      </c>
    </row>
    <row r="7" spans="2:4" x14ac:dyDescent="0.25">
      <c r="B7" s="4" t="s">
        <v>114</v>
      </c>
      <c r="C7" s="4" t="s">
        <v>115</v>
      </c>
      <c r="D7" s="34">
        <v>43237.913310185184</v>
      </c>
    </row>
    <row r="8" spans="2:4" x14ac:dyDescent="0.25">
      <c r="B8" s="4" t="s">
        <v>116</v>
      </c>
      <c r="C8" s="37" t="s">
        <v>117</v>
      </c>
      <c r="D8" s="38">
        <v>43237.915208333332</v>
      </c>
    </row>
    <row r="9" spans="2:4" x14ac:dyDescent="0.25">
      <c r="B9" s="4" t="s">
        <v>116</v>
      </c>
      <c r="C9" s="4" t="s">
        <v>117</v>
      </c>
      <c r="D9" s="34">
        <v>43237.918622685182</v>
      </c>
    </row>
    <row r="10" spans="2:4" x14ac:dyDescent="0.25">
      <c r="B10" s="4" t="s">
        <v>116</v>
      </c>
      <c r="C10" s="4" t="s">
        <v>118</v>
      </c>
      <c r="D10" s="34">
        <v>43237.918819444443</v>
      </c>
    </row>
    <row r="11" spans="2:4" x14ac:dyDescent="0.25">
      <c r="B11" s="4" t="s">
        <v>116</v>
      </c>
      <c r="C11" s="4" t="s">
        <v>119</v>
      </c>
      <c r="D11" s="34">
        <v>43237.919976851852</v>
      </c>
    </row>
    <row r="12" spans="2:4" x14ac:dyDescent="0.25">
      <c r="B12" s="4" t="s">
        <v>148</v>
      </c>
      <c r="C12" s="4" t="s">
        <v>149</v>
      </c>
      <c r="D12" s="34">
        <v>43238.42701388889</v>
      </c>
    </row>
    <row r="13" spans="2:4" x14ac:dyDescent="0.25">
      <c r="B13" s="4" t="s">
        <v>150</v>
      </c>
      <c r="C13" s="4" t="s">
        <v>151</v>
      </c>
      <c r="D13" s="34">
        <v>43238.428078703706</v>
      </c>
    </row>
    <row r="14" spans="2:4" x14ac:dyDescent="0.25">
      <c r="D14"/>
    </row>
    <row r="15" spans="2:4" x14ac:dyDescent="0.25">
      <c r="D15"/>
    </row>
    <row r="16" spans="2:4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752475</xdr:colOff>
                <xdr:row>2</xdr:row>
                <xdr:rowOff>66675</xdr:rowOff>
              </from>
              <to>
                <xdr:col>1</xdr:col>
                <xdr:colOff>895350</xdr:colOff>
                <xdr:row>4</xdr:row>
                <xdr:rowOff>9525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F86A1-6511-4636-A806-E9103ACFC8FA}">
  <sheetPr codeName="Feuil8"/>
  <dimension ref="B1:K38"/>
  <sheetViews>
    <sheetView showGridLines="0" zoomScale="98" zoomScaleNormal="98" workbookViewId="0">
      <selection activeCell="F6" sqref="F6"/>
    </sheetView>
  </sheetViews>
  <sheetFormatPr baseColWidth="10" defaultRowHeight="15" x14ac:dyDescent="0.25"/>
  <cols>
    <col min="2" max="2" width="17.28515625" customWidth="1"/>
    <col min="10" max="10" width="18.140625" customWidth="1"/>
    <col min="16" max="16" width="29.42578125" customWidth="1"/>
  </cols>
  <sheetData>
    <row r="1" spans="2:11" ht="49.5" customHeight="1" x14ac:dyDescent="0.25"/>
    <row r="6" spans="2:11" x14ac:dyDescent="0.25">
      <c r="B6" s="28" t="s">
        <v>90</v>
      </c>
      <c r="C6" s="7"/>
      <c r="D6" s="7"/>
      <c r="I6" s="28" t="s">
        <v>101</v>
      </c>
      <c r="J6" s="7"/>
      <c r="K6" s="7"/>
    </row>
    <row r="8" spans="2:11" x14ac:dyDescent="0.25">
      <c r="I8" s="10" t="s">
        <v>91</v>
      </c>
      <c r="J8" s="11" t="s">
        <v>103</v>
      </c>
    </row>
    <row r="9" spans="2:11" x14ac:dyDescent="0.25">
      <c r="I9" s="10" t="s">
        <v>92</v>
      </c>
      <c r="J9" s="11" t="s">
        <v>102</v>
      </c>
    </row>
    <row r="10" spans="2:11" x14ac:dyDescent="0.25">
      <c r="I10" s="10" t="s">
        <v>93</v>
      </c>
      <c r="J10" s="11" t="s">
        <v>99</v>
      </c>
    </row>
    <row r="11" spans="2:11" x14ac:dyDescent="0.25">
      <c r="I11" s="10" t="s">
        <v>94</v>
      </c>
      <c r="J11" s="11" t="s">
        <v>158</v>
      </c>
    </row>
    <row r="12" spans="2:11" x14ac:dyDescent="0.25">
      <c r="I12" s="10" t="s">
        <v>95</v>
      </c>
      <c r="J12" s="11" t="s">
        <v>60</v>
      </c>
    </row>
    <row r="13" spans="2:11" x14ac:dyDescent="0.25">
      <c r="I13" s="10" t="s">
        <v>96</v>
      </c>
      <c r="J13" s="11" t="s">
        <v>104</v>
      </c>
    </row>
    <row r="14" spans="2:11" x14ac:dyDescent="0.25">
      <c r="I14" s="10" t="s">
        <v>97</v>
      </c>
      <c r="J14" s="11" t="s">
        <v>100</v>
      </c>
    </row>
    <row r="15" spans="2:11" x14ac:dyDescent="0.25">
      <c r="I15" s="10" t="s">
        <v>98</v>
      </c>
      <c r="J15" s="11" t="s">
        <v>106</v>
      </c>
    </row>
    <row r="16" spans="2:11" x14ac:dyDescent="0.25">
      <c r="B16" s="9"/>
    </row>
    <row r="17" spans="2:5" x14ac:dyDescent="0.25">
      <c r="B17" s="6" t="s">
        <v>49</v>
      </c>
      <c r="C17" s="7"/>
      <c r="D17" s="7"/>
    </row>
    <row r="18" spans="2:5" x14ac:dyDescent="0.25">
      <c r="B18" s="8"/>
    </row>
    <row r="19" spans="2:5" x14ac:dyDescent="0.25">
      <c r="B19" s="10" t="s">
        <v>102</v>
      </c>
      <c r="C19" s="11" t="s">
        <v>105</v>
      </c>
      <c r="D19" s="11">
        <v>12</v>
      </c>
      <c r="E19" s="10" t="str">
        <f>C19&amp;TEXT(D19,"00000")</f>
        <v>PRO-00012</v>
      </c>
    </row>
    <row r="20" spans="2:5" x14ac:dyDescent="0.25">
      <c r="B20" s="10" t="s">
        <v>61</v>
      </c>
      <c r="C20" s="11" t="s">
        <v>62</v>
      </c>
      <c r="D20" s="11">
        <v>20</v>
      </c>
      <c r="E20" s="10" t="str">
        <f>C20&amp;TEXT(D20,"00000")</f>
        <v>ORD-00020</v>
      </c>
    </row>
    <row r="21" spans="2:5" x14ac:dyDescent="0.25">
      <c r="B21" s="10" t="s">
        <v>106</v>
      </c>
      <c r="C21" s="11" t="s">
        <v>107</v>
      </c>
      <c r="D21" s="11">
        <v>1</v>
      </c>
      <c r="E21" s="10" t="str">
        <f>C21&amp;TEXT(D21,"00000")</f>
        <v>IVT-00001</v>
      </c>
    </row>
    <row r="22" spans="2:5" x14ac:dyDescent="0.25">
      <c r="B22" s="10" t="s">
        <v>104</v>
      </c>
      <c r="C22" s="11" t="s">
        <v>108</v>
      </c>
      <c r="D22" s="11">
        <v>9</v>
      </c>
      <c r="E22" s="10" t="str">
        <f>C22&amp;TEXT(D22,"00000")</f>
        <v>CAT-00009</v>
      </c>
    </row>
    <row r="25" spans="2:5" x14ac:dyDescent="0.25">
      <c r="B25" s="16" t="s">
        <v>67</v>
      </c>
      <c r="C25" s="7"/>
      <c r="D25" s="7"/>
    </row>
    <row r="27" spans="2:5" x14ac:dyDescent="0.25">
      <c r="B27" t="s">
        <v>80</v>
      </c>
      <c r="C27" t="s">
        <v>66</v>
      </c>
    </row>
    <row r="28" spans="2:5" x14ac:dyDescent="0.25">
      <c r="B28" t="s">
        <v>1</v>
      </c>
      <c r="C28" t="s">
        <v>81</v>
      </c>
    </row>
    <row r="29" spans="2:5" x14ac:dyDescent="0.25">
      <c r="B29" t="s">
        <v>3</v>
      </c>
      <c r="C29" t="s">
        <v>9</v>
      </c>
    </row>
    <row r="30" spans="2:5" x14ac:dyDescent="0.25">
      <c r="B30" t="s">
        <v>77</v>
      </c>
      <c r="C30" t="s">
        <v>82</v>
      </c>
    </row>
    <row r="31" spans="2:5" x14ac:dyDescent="0.25">
      <c r="B31" t="s">
        <v>78</v>
      </c>
      <c r="C31">
        <v>697506370</v>
      </c>
    </row>
    <row r="32" spans="2:5" x14ac:dyDescent="0.25">
      <c r="B32" t="s">
        <v>6</v>
      </c>
      <c r="C32" s="1" t="s">
        <v>11</v>
      </c>
    </row>
    <row r="34" spans="2:6" x14ac:dyDescent="0.25">
      <c r="B34" t="s">
        <v>79</v>
      </c>
      <c r="C34" s="62" t="s">
        <v>83</v>
      </c>
      <c r="D34" s="62"/>
      <c r="E34" s="62"/>
      <c r="F34" s="62"/>
    </row>
    <row r="35" spans="2:6" x14ac:dyDescent="0.25">
      <c r="C35" s="62"/>
      <c r="D35" s="62"/>
      <c r="E35" s="62"/>
      <c r="F35" s="62"/>
    </row>
    <row r="36" spans="2:6" x14ac:dyDescent="0.25">
      <c r="C36" s="62"/>
      <c r="D36" s="62"/>
      <c r="E36" s="62"/>
      <c r="F36" s="62"/>
    </row>
    <row r="37" spans="2:6" x14ac:dyDescent="0.25">
      <c r="C37" s="62"/>
      <c r="D37" s="62"/>
      <c r="E37" s="62"/>
      <c r="F37" s="62"/>
    </row>
    <row r="38" spans="2:6" x14ac:dyDescent="0.25">
      <c r="C38" s="62"/>
      <c r="D38" s="62"/>
      <c r="E38" s="62"/>
      <c r="F38" s="62"/>
    </row>
  </sheetData>
  <mergeCells count="1">
    <mergeCell ref="C34:F38"/>
  </mergeCells>
  <hyperlinks>
    <hyperlink ref="C32" r:id="rId1" xr:uid="{C9735065-A40D-4755-8146-C59878FFE251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DB00-4741-4259-A057-40A321E116CE}">
  <sheetPr codeName="Feuil5"/>
  <dimension ref="B1:M10"/>
  <sheetViews>
    <sheetView showGridLines="0" workbookViewId="0">
      <selection activeCell="B1" sqref="B1"/>
    </sheetView>
  </sheetViews>
  <sheetFormatPr baseColWidth="10" defaultRowHeight="15" x14ac:dyDescent="0.25"/>
  <cols>
    <col min="1" max="1" width="11.42578125" style="23"/>
    <col min="2" max="3" width="11.5703125" style="23" customWidth="1"/>
    <col min="4" max="4" width="21.7109375" style="23" customWidth="1"/>
    <col min="5" max="5" width="18.42578125" style="23" customWidth="1"/>
    <col min="6" max="6" width="17" style="23" customWidth="1"/>
    <col min="7" max="7" width="15.7109375" style="23" customWidth="1"/>
    <col min="8" max="11" width="16.28515625" style="23" customWidth="1"/>
    <col min="12" max="13" width="15.85546875" style="23" customWidth="1"/>
    <col min="14" max="16384" width="11.42578125" style="23"/>
  </cols>
  <sheetData>
    <row r="1" spans="2:13" ht="40.5" customHeight="1" x14ac:dyDescent="0.25"/>
    <row r="3" spans="2:13" x14ac:dyDescent="0.25">
      <c r="H3" s="23" t="s">
        <v>126</v>
      </c>
      <c r="I3" s="40">
        <f>IFERROR(SUM(Tableau6[Total sortie]),"")</f>
        <v>3208</v>
      </c>
      <c r="J3" s="40"/>
      <c r="K3" s="40"/>
    </row>
    <row r="4" spans="2:13" x14ac:dyDescent="0.25">
      <c r="B4" s="63" t="s">
        <v>128</v>
      </c>
      <c r="C4" s="63"/>
      <c r="D4" s="63"/>
      <c r="E4" s="64">
        <f ca="1">TODAY()</f>
        <v>43239</v>
      </c>
      <c r="H4" s="23" t="s">
        <v>127</v>
      </c>
      <c r="I4" s="40">
        <f>IFERROR(SUM(Tableau6[Total Entree]),"")</f>
        <v>260</v>
      </c>
      <c r="J4" s="40"/>
      <c r="K4" s="40"/>
    </row>
    <row r="5" spans="2:13" x14ac:dyDescent="0.25">
      <c r="B5" s="63"/>
      <c r="C5" s="63"/>
      <c r="D5" s="63"/>
      <c r="E5" s="64"/>
      <c r="H5" s="23" t="s">
        <v>74</v>
      </c>
      <c r="I5" s="40">
        <f>SUM(Tableau6[Total])</f>
        <v>48092</v>
      </c>
      <c r="J5" s="40"/>
      <c r="K5" s="40"/>
    </row>
    <row r="7" spans="2:13" ht="30" x14ac:dyDescent="0.25">
      <c r="B7" s="27" t="s">
        <v>120</v>
      </c>
      <c r="C7" s="27" t="s">
        <v>0</v>
      </c>
      <c r="D7" s="27" t="s">
        <v>121</v>
      </c>
      <c r="E7" s="27" t="s">
        <v>122</v>
      </c>
      <c r="F7" s="27" t="s">
        <v>89</v>
      </c>
      <c r="G7" s="27" t="s">
        <v>123</v>
      </c>
      <c r="H7" s="27" t="s">
        <v>124</v>
      </c>
      <c r="I7" s="27" t="s">
        <v>125</v>
      </c>
      <c r="J7" s="27" t="s">
        <v>129</v>
      </c>
      <c r="K7" s="27" t="s">
        <v>130</v>
      </c>
      <c r="L7" s="27" t="s">
        <v>73</v>
      </c>
      <c r="M7" s="27"/>
    </row>
    <row r="8" spans="2:13" x14ac:dyDescent="0.25">
      <c r="B8" s="27" t="s">
        <v>131</v>
      </c>
      <c r="C8" s="27" t="s">
        <v>134</v>
      </c>
      <c r="D8" s="27">
        <v>50</v>
      </c>
      <c r="E8" s="27">
        <v>10</v>
      </c>
      <c r="F8" s="27">
        <v>10</v>
      </c>
      <c r="G8" s="27">
        <v>0</v>
      </c>
      <c r="H8" s="27">
        <f>IFERROR((Tableau6[[#This Row],[Stock initial]]+Tableau6[[#This Row],[Entrée]])-(Tableau6[[#This Row],[Sortie]]+Tableau6[[#This Row],[perte]]),"")</f>
        <v>50</v>
      </c>
      <c r="I8" s="27">
        <v>20</v>
      </c>
      <c r="J8" s="39">
        <f>IFERROR(Tableau6[[#This Row],[Entrée]]*Tableau6[[#This Row],[PU]],"")</f>
        <v>200</v>
      </c>
      <c r="K8" s="39">
        <f>IFERROR((Tableau6[[#This Row],[Sortie]]+Tableau6[[#This Row],[perte]])*Tableau6[[#This Row],[PU]],"")</f>
        <v>200</v>
      </c>
      <c r="L8" s="39">
        <f>Tableau6[[#This Row],[Stock final]]*Tableau6[[#This Row],[PU]]</f>
        <v>1000</v>
      </c>
      <c r="M8" s="27"/>
    </row>
    <row r="9" spans="2:13" x14ac:dyDescent="0.25">
      <c r="B9" s="27" t="s">
        <v>132</v>
      </c>
      <c r="C9" s="27" t="s">
        <v>135</v>
      </c>
      <c r="D9" s="27">
        <v>100</v>
      </c>
      <c r="E9" s="27"/>
      <c r="F9" s="27">
        <v>5</v>
      </c>
      <c r="G9" s="27">
        <v>1</v>
      </c>
      <c r="H9" s="27">
        <f>IFERROR((Tableau6[[#This Row],[Stock initial]]+Tableau6[[#This Row],[Entrée]])-(Tableau6[[#This Row],[Sortie]]+Tableau6[[#This Row],[perte]]),"")</f>
        <v>94</v>
      </c>
      <c r="I9" s="27">
        <v>500</v>
      </c>
      <c r="J9" s="39">
        <f>IFERROR(Tableau6[[#This Row],[Entrée]]*Tableau6[[#This Row],[PU]],"")</f>
        <v>0</v>
      </c>
      <c r="K9" s="39">
        <f>IFERROR((Tableau6[[#This Row],[Sortie]]+Tableau6[[#This Row],[perte]])*Tableau6[[#This Row],[PU]],"")</f>
        <v>3000</v>
      </c>
      <c r="L9" s="39">
        <f>Tableau6[[#This Row],[Stock final]]*Tableau6[[#This Row],[PU]]</f>
        <v>47000</v>
      </c>
      <c r="M9" s="27"/>
    </row>
    <row r="10" spans="2:13" x14ac:dyDescent="0.25">
      <c r="B10" s="27" t="s">
        <v>133</v>
      </c>
      <c r="C10" s="27" t="s">
        <v>136</v>
      </c>
      <c r="D10" s="27">
        <v>20</v>
      </c>
      <c r="E10" s="27">
        <v>30</v>
      </c>
      <c r="F10" s="27">
        <v>3</v>
      </c>
      <c r="G10" s="27">
        <v>1</v>
      </c>
      <c r="H10" s="27">
        <f>IFERROR((Tableau6[[#This Row],[Stock initial]]+Tableau6[[#This Row],[Entrée]])-(Tableau6[[#This Row],[Sortie]]+Tableau6[[#This Row],[perte]]),"")</f>
        <v>46</v>
      </c>
      <c r="I10" s="27">
        <v>2</v>
      </c>
      <c r="J10" s="39">
        <f>IFERROR(Tableau6[[#This Row],[Entrée]]*Tableau6[[#This Row],[PU]],"")</f>
        <v>60</v>
      </c>
      <c r="K10" s="39">
        <f>IFERROR((Tableau6[[#This Row],[Sortie]]+Tableau6[[#This Row],[perte]])*Tableau6[[#This Row],[PU]],"")</f>
        <v>8</v>
      </c>
      <c r="L10" s="39">
        <f>Tableau6[[#This Row],[Stock final]]*Tableau6[[#This Row],[PU]]</f>
        <v>92</v>
      </c>
      <c r="M10" s="27"/>
    </row>
  </sheetData>
  <mergeCells count="2">
    <mergeCell ref="B4:D5"/>
    <mergeCell ref="E4:E5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Accueil</vt:lpstr>
      <vt:lpstr>Produit</vt:lpstr>
      <vt:lpstr>Commande</vt:lpstr>
      <vt:lpstr>Facture</vt:lpstr>
      <vt:lpstr>Fournisseur</vt:lpstr>
      <vt:lpstr>Catégorie</vt:lpstr>
      <vt:lpstr>Config</vt:lpstr>
      <vt:lpstr>Inventaire</vt:lpstr>
      <vt:lpstr>article</vt:lpstr>
      <vt:lpstr>cat</vt:lpstr>
      <vt:lpstr>categorie</vt:lpstr>
      <vt:lpstr>categories</vt:lpstr>
      <vt:lpstr>client</vt:lpstr>
      <vt:lpstr>commandes</vt:lpstr>
      <vt:lpstr>fournisseur</vt:lpstr>
      <vt:lpstr>order_id</vt:lpstr>
      <vt:lpstr>pro</vt:lpstr>
      <vt:lpstr>Produits</vt:lpstr>
      <vt:lpstr>supplier</vt:lpstr>
      <vt:lpstr>tb_categorie</vt:lpstr>
      <vt:lpstr>tb_produits</vt:lpstr>
      <vt:lpstr>test</vt:lpstr>
      <vt:lpstr>Facture!Zone_d_impression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2018-05-19T08:57:04Z</cp:lastPrinted>
  <dcterms:created xsi:type="dcterms:W3CDTF">2018-05-16T21:41:59Z</dcterms:created>
  <dcterms:modified xsi:type="dcterms:W3CDTF">2018-05-19T08:57:05Z</dcterms:modified>
</cp:coreProperties>
</file>